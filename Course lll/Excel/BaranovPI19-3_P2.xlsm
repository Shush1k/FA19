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Ex1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charts/chartEx2.xml" ContentType="application/vnd.ms-office.chartex+xml"/>
  <Override PartName="/xl/charts/style10.xml" ContentType="application/vnd.ms-office.chartstyle+xml"/>
  <Override PartName="/xl/charts/colors10.xml" ContentType="application/vnd.ms-office.chartcolorstyle+xml"/>
  <Override PartName="/xl/charts/chartEx3.xml" ContentType="application/vnd.ms-office.chartex+xml"/>
  <Override PartName="/xl/charts/style11.xml" ContentType="application/vnd.ms-office.chartstyle+xml"/>
  <Override PartName="/xl/charts/colors11.xml" ContentType="application/vnd.ms-office.chartcolorstyle+xml"/>
  <Override PartName="/xl/charts/chartEx4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charts/chartEx5.xml" ContentType="application/vnd.ms-office.chartex+xml"/>
  <Override PartName="/xl/charts/style13.xml" ContentType="application/vnd.ms-office.chartstyle+xml"/>
  <Override PartName="/xl/charts/colors13.xml" ContentType="application/vnd.ms-office.chartcolorstyle+xml"/>
  <Override PartName="/xl/charts/chartEx6.xml" ContentType="application/vnd.ms-office.chartex+xml"/>
  <Override PartName="/xl/charts/style14.xml" ContentType="application/vnd.ms-office.chartstyle+xml"/>
  <Override PartName="/xl/charts/colors14.xml" ContentType="application/vnd.ms-office.chartcolorstyle+xml"/>
  <Override PartName="/xl/charts/chartEx7.xml" ContentType="application/vnd.ms-office.chartex+xml"/>
  <Override PartName="/xl/charts/style15.xml" ContentType="application/vnd.ms-office.chartstyle+xml"/>
  <Override PartName="/xl/charts/colors15.xml" ContentType="application/vnd.ms-office.chartcolorstyle+xml"/>
  <Override PartName="/xl/charts/chartEx8.xml" ContentType="application/vnd.ms-office.chartex+xml"/>
  <Override PartName="/xl/charts/style16.xml" ContentType="application/vnd.ms-office.chartstyle+xml"/>
  <Override PartName="/xl/charts/colors16.xml" ContentType="application/vnd.ms-office.chartcolorstyle+xml"/>
  <Override PartName="/xl/charts/chartEx9.xml" ContentType="application/vnd.ms-office.chartex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user/Documents/GitHub/FA19/Course lll/Excel/"/>
    </mc:Choice>
  </mc:AlternateContent>
  <xr:revisionPtr revIDLastSave="0" documentId="13_ncr:1_{C15C6212-A35A-594B-A60C-CD7B82A1F004}" xr6:coauthVersionLast="47" xr6:coauthVersionMax="47" xr10:uidLastSave="{00000000-0000-0000-0000-000000000000}"/>
  <bookViews>
    <workbookView xWindow="3180" yWindow="2100" windowWidth="27640" windowHeight="16860" xr2:uid="{00000000-000D-0000-FFFF-FFFF00000000}"/>
  </bookViews>
  <sheets>
    <sheet name="BaranovPI19-3_1_Лист" sheetId="1" r:id="rId1"/>
  </sheets>
  <definedNames>
    <definedName name="_xlchart.v1.0" hidden="1">'BaranovPI19-3_1_Лист'!$L$1</definedName>
    <definedName name="_xlchart.v1.1" hidden="1">'BaranovPI19-3_1_Лист'!$L$2:$L$94</definedName>
    <definedName name="_xlchart.v1.10" hidden="1">'BaranovPI19-3_1_Лист'!$P$1</definedName>
    <definedName name="_xlchart.v1.11" hidden="1">'BaranovPI19-3_1_Лист'!$P$2:$P$94</definedName>
    <definedName name="_xlchart.v1.12" hidden="1">'BaranovPI19-3_1_Лист'!$F$1</definedName>
    <definedName name="_xlchart.v1.13" hidden="1">'BaranovPI19-3_1_Лист'!$F$2:$F$94</definedName>
    <definedName name="_xlchart.v1.14" hidden="1">'BaranovPI19-3_1_Лист'!$O$1</definedName>
    <definedName name="_xlchart.v1.15" hidden="1">'BaranovPI19-3_1_Лист'!$O$2:$O$94</definedName>
    <definedName name="_xlchart.v1.16" hidden="1">'BaranovPI19-3_1_Лист'!$K$1</definedName>
    <definedName name="_xlchart.v1.17" hidden="1">'BaranovPI19-3_1_Лист'!$K$2:$K$94</definedName>
    <definedName name="_xlchart.v1.18" hidden="1">'BaranovPI19-3_1_Лист'!$O$1</definedName>
    <definedName name="_xlchart.v1.19" hidden="1">'BaranovPI19-3_1_Лист'!$O$2:$O$94</definedName>
    <definedName name="_xlchart.v1.2" hidden="1">'BaranovPI19-3_1_Лист'!$P$1</definedName>
    <definedName name="_xlchart.v1.20" hidden="1">'BaranovPI19-3_1_Лист'!$P$1</definedName>
    <definedName name="_xlchart.v1.21" hidden="1">'BaranovPI19-3_1_Лист'!$P$2:$P$94</definedName>
    <definedName name="_xlchart.v1.22" hidden="1">'BaranovPI19-3_1_Лист'!$G$1</definedName>
    <definedName name="_xlchart.v1.23" hidden="1">'BaranovPI19-3_1_Лист'!$G$2:$G$94</definedName>
    <definedName name="_xlchart.v1.24" hidden="1">'BaranovPI19-3_1_Лист'!$B$1</definedName>
    <definedName name="_xlchart.v1.25" hidden="1">'BaranovPI19-3_1_Лист'!$B$2:$B$94</definedName>
    <definedName name="_xlchart.v1.26" hidden="1">'BaranovPI19-3_1_Лист'!$E$1</definedName>
    <definedName name="_xlchart.v1.27" hidden="1">'BaranovPI19-3_1_Лист'!$E$2:$E$94</definedName>
    <definedName name="_xlchart.v1.3" hidden="1">'BaranovPI19-3_1_Лист'!$P$2:$P$94</definedName>
    <definedName name="_xlchart.v1.4" hidden="1">'BaranovPI19-3_1_Лист'!$O$1</definedName>
    <definedName name="_xlchart.v1.5" hidden="1">'BaranovPI19-3_1_Лист'!$O$2:$O$94</definedName>
    <definedName name="_xlchart.v1.6" hidden="1">'BaranovPI19-3_1_Лист'!$J$1</definedName>
    <definedName name="_xlchart.v1.7" hidden="1">'BaranovPI19-3_1_Лист'!$J$2:$J$94</definedName>
    <definedName name="_xlchart.v1.8" hidden="1">'BaranovPI19-3_1_Лист'!$O$1</definedName>
    <definedName name="_xlchart.v1.9" hidden="1">'BaranovPI19-3_1_Лист'!$O$2:$O$94</definedName>
  </definedNames>
  <calcPr calcId="191029"/>
</workbook>
</file>

<file path=xl/calcChain.xml><?xml version="1.0" encoding="utf-8"?>
<calcChain xmlns="http://schemas.openxmlformats.org/spreadsheetml/2006/main">
  <c r="F8" i="1" l="1"/>
  <c r="O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F2" i="1"/>
  <c r="F3" i="1"/>
  <c r="F4" i="1"/>
  <c r="F5" i="1"/>
  <c r="F6" i="1"/>
  <c r="F7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</calcChain>
</file>

<file path=xl/sharedStrings.xml><?xml version="1.0" encoding="utf-8"?>
<sst xmlns="http://schemas.openxmlformats.org/spreadsheetml/2006/main" count="16" uniqueCount="16">
  <si>
    <t>Дата</t>
  </si>
  <si>
    <t>Втб ао цена</t>
  </si>
  <si>
    <t>Втб ао объем</t>
  </si>
  <si>
    <t>Газпром объем</t>
  </si>
  <si>
    <t>Газпром цена</t>
  </si>
  <si>
    <t>Сбербанк цена</t>
  </si>
  <si>
    <t>Втб доходность</t>
  </si>
  <si>
    <t>LN втб</t>
  </si>
  <si>
    <t>Сбербанк объем</t>
  </si>
  <si>
    <t>Втб ао цена 1000</t>
  </si>
  <si>
    <t>Сбербанк доходность</t>
  </si>
  <si>
    <t>Сбербанк цена 1000</t>
  </si>
  <si>
    <t>LN Сбербанк</t>
  </si>
  <si>
    <t>Газпром цена 1000</t>
  </si>
  <si>
    <t>Газпром доходность</t>
  </si>
  <si>
    <t>LN Газпром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</si>
</sst>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#,##0.00\ &quot;₽&quot;"/>
  </numFmts>
  <fonts count="19" x14ac:knownFonts="1"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2"/>
      <color rgb="FF006100"/>
      <name val="Calibri"/>
      <family val="2"/>
      <charset val="204"/>
      <scheme val="minor"/>
    </font>
    <font>
      <sz val="12"/>
      <color rgb="FF9C0006"/>
      <name val="Calibri"/>
      <family val="2"/>
      <charset val="204"/>
      <scheme val="minor"/>
    </font>
    <font>
      <sz val="12"/>
      <color rgb="FF9C5700"/>
      <name val="Calibri"/>
      <family val="2"/>
      <charset val="204"/>
      <scheme val="minor"/>
    </font>
    <font>
      <sz val="12"/>
      <color rgb="FF3F3F76"/>
      <name val="Calibri"/>
      <family val="2"/>
      <charset val="204"/>
      <scheme val="minor"/>
    </font>
    <font>
      <b/>
      <sz val="12"/>
      <color rgb="FF3F3F3F"/>
      <name val="Calibri"/>
      <family val="2"/>
      <charset val="204"/>
      <scheme val="minor"/>
    </font>
    <font>
      <b/>
      <sz val="12"/>
      <color rgb="FFFA7D00"/>
      <name val="Calibri"/>
      <family val="2"/>
      <charset val="204"/>
      <scheme val="minor"/>
    </font>
    <font>
      <sz val="12"/>
      <color rgb="FFFA7D00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i/>
      <sz val="12"/>
      <color rgb="FF7F7F7F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9">
    <dxf>
      <numFmt numFmtId="2" formatCode="0.00"/>
    </dxf>
    <dxf>
      <numFmt numFmtId="14" formatCode="0.00%"/>
    </dxf>
    <dxf>
      <numFmt numFmtId="165" formatCode="#,##0.00\ &quot;₽&quot;"/>
    </dxf>
    <dxf>
      <numFmt numFmtId="0" formatCode="General"/>
    </dxf>
    <dxf>
      <numFmt numFmtId="14" formatCode="0.00%"/>
    </dxf>
    <dxf>
      <numFmt numFmtId="14" formatCode="0.00%"/>
    </dxf>
    <dxf>
      <numFmt numFmtId="14" formatCode="0.00%"/>
    </dxf>
    <dxf>
      <numFmt numFmtId="2" formatCode="0.00"/>
    </dxf>
    <dxf>
      <numFmt numFmtId="2" formatCode="0.00"/>
    </dxf>
    <dxf>
      <numFmt numFmtId="2" formatCode="0.00"/>
    </dxf>
    <dxf>
      <numFmt numFmtId="14" formatCode="0.00%"/>
    </dxf>
    <dxf>
      <numFmt numFmtId="165" formatCode="#,##0.00\ &quot;₽&quot;"/>
    </dxf>
    <dxf>
      <numFmt numFmtId="165" formatCode="#,##0.00\ &quot;₽&quot;"/>
    </dxf>
    <dxf>
      <numFmt numFmtId="2" formatCode="0.00"/>
    </dxf>
    <dxf>
      <border outline="0">
        <top style="thin">
          <color theme="4" tint="0.39997558519241921"/>
        </top>
      </border>
    </dxf>
    <dxf>
      <numFmt numFmtId="165" formatCode="#,##0.00\ &quot;₽&quot;"/>
    </dxf>
    <dxf>
      <numFmt numFmtId="165" formatCode="#,##0.00\ &quot;₽&quot;"/>
    </dxf>
    <dxf>
      <numFmt numFmtId="2" formatCode="0.00"/>
    </dxf>
    <dxf>
      <numFmt numFmtId="164" formatCode="[$-F800]dddd\,\ mmmm\ dd\,\ 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Ex9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'BaranovPI19-3_1_Лист'!$D$1</c:f>
              <c:strCache>
                <c:ptCount val="1"/>
                <c:pt idx="0">
                  <c:v>Втб ао цена 1000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'BaranovPI19-3_1_Лист'!$B$2:$B$94</c:f>
              <c:numCache>
                <c:formatCode>0.00</c:formatCode>
                <c:ptCount val="93"/>
                <c:pt idx="0">
                  <c:v>5.3589999999999999E-2</c:v>
                </c:pt>
                <c:pt idx="1">
                  <c:v>5.5820000000000002E-2</c:v>
                </c:pt>
                <c:pt idx="2">
                  <c:v>5.5879999999999999E-2</c:v>
                </c:pt>
                <c:pt idx="3">
                  <c:v>4.9700000000000001E-2</c:v>
                </c:pt>
                <c:pt idx="4">
                  <c:v>4.929E-2</c:v>
                </c:pt>
                <c:pt idx="5">
                  <c:v>4.5999999999999999E-2</c:v>
                </c:pt>
                <c:pt idx="6">
                  <c:v>4.7010000000000003E-2</c:v>
                </c:pt>
                <c:pt idx="7">
                  <c:v>4.6609999999999999E-2</c:v>
                </c:pt>
                <c:pt idx="8">
                  <c:v>4.4499999999999998E-2</c:v>
                </c:pt>
                <c:pt idx="9">
                  <c:v>4.267E-2</c:v>
                </c:pt>
                <c:pt idx="10">
                  <c:v>4.4350000000000001E-2</c:v>
                </c:pt>
                <c:pt idx="11">
                  <c:v>4.6280000000000002E-2</c:v>
                </c:pt>
                <c:pt idx="12">
                  <c:v>4.9660000000000003E-2</c:v>
                </c:pt>
                <c:pt idx="13">
                  <c:v>4.5440000000000001E-2</c:v>
                </c:pt>
                <c:pt idx="14">
                  <c:v>4.2130000000000001E-2</c:v>
                </c:pt>
                <c:pt idx="15">
                  <c:v>3.9600000000000003E-2</c:v>
                </c:pt>
                <c:pt idx="16">
                  <c:v>3.8649999999999997E-2</c:v>
                </c:pt>
                <c:pt idx="17">
                  <c:v>4.7899999999999998E-2</c:v>
                </c:pt>
                <c:pt idx="18">
                  <c:v>4.1099999999999998E-2</c:v>
                </c:pt>
                <c:pt idx="19">
                  <c:v>3.9800000000000002E-2</c:v>
                </c:pt>
                <c:pt idx="20">
                  <c:v>3.8399999999999997E-2</c:v>
                </c:pt>
                <c:pt idx="21">
                  <c:v>3.8039999999999997E-2</c:v>
                </c:pt>
                <c:pt idx="22">
                  <c:v>3.993E-2</c:v>
                </c:pt>
                <c:pt idx="23">
                  <c:v>4.6699999999999998E-2</c:v>
                </c:pt>
                <c:pt idx="24">
                  <c:v>6.7000000000000004E-2</c:v>
                </c:pt>
                <c:pt idx="25">
                  <c:v>6.8940000000000001E-2</c:v>
                </c:pt>
                <c:pt idx="26">
                  <c:v>6.8000000000000005E-2</c:v>
                </c:pt>
                <c:pt idx="27">
                  <c:v>0.06</c:v>
                </c:pt>
                <c:pt idx="28">
                  <c:v>6.5500000000000003E-2</c:v>
                </c:pt>
                <c:pt idx="29">
                  <c:v>8.0250000000000002E-2</c:v>
                </c:pt>
                <c:pt idx="30">
                  <c:v>7.9000000000000001E-2</c:v>
                </c:pt>
                <c:pt idx="31">
                  <c:v>7.1999999999999995E-2</c:v>
                </c:pt>
                <c:pt idx="32">
                  <c:v>6.9000000000000006E-2</c:v>
                </c:pt>
                <c:pt idx="33">
                  <c:v>6.7699999999999996E-2</c:v>
                </c:pt>
                <c:pt idx="34">
                  <c:v>7.2349999999999998E-2</c:v>
                </c:pt>
                <c:pt idx="35">
                  <c:v>7.0999999999999994E-2</c:v>
                </c:pt>
                <c:pt idx="36">
                  <c:v>7.9699999999999993E-2</c:v>
                </c:pt>
                <c:pt idx="37">
                  <c:v>7.3700000000000002E-2</c:v>
                </c:pt>
                <c:pt idx="38">
                  <c:v>7.3400000000000007E-2</c:v>
                </c:pt>
                <c:pt idx="39">
                  <c:v>7.6679999999999998E-2</c:v>
                </c:pt>
                <c:pt idx="40">
                  <c:v>7.0050000000000001E-2</c:v>
                </c:pt>
                <c:pt idx="41">
                  <c:v>6.8400000000000002E-2</c:v>
                </c:pt>
                <c:pt idx="42">
                  <c:v>6.8000000000000005E-2</c:v>
                </c:pt>
                <c:pt idx="43">
                  <c:v>6.7409999999999998E-2</c:v>
                </c:pt>
                <c:pt idx="44">
                  <c:v>6.8489999999999995E-2</c:v>
                </c:pt>
                <c:pt idx="45">
                  <c:v>7.2099999999999997E-2</c:v>
                </c:pt>
                <c:pt idx="46">
                  <c:v>6.7750000000000005E-2</c:v>
                </c:pt>
                <c:pt idx="47">
                  <c:v>6.9400000000000003E-2</c:v>
                </c:pt>
                <c:pt idx="48">
                  <c:v>7.3999999999999996E-2</c:v>
                </c:pt>
                <c:pt idx="49">
                  <c:v>6.8970000000000004E-2</c:v>
                </c:pt>
                <c:pt idx="50">
                  <c:v>6.608E-2</c:v>
                </c:pt>
                <c:pt idx="51">
                  <c:v>6.6250000000000003E-2</c:v>
                </c:pt>
                <c:pt idx="52">
                  <c:v>6.6710000000000005E-2</c:v>
                </c:pt>
                <c:pt idx="53">
                  <c:v>6.615E-2</c:v>
                </c:pt>
                <c:pt idx="54">
                  <c:v>6.4000000000000001E-2</c:v>
                </c:pt>
                <c:pt idx="55">
                  <c:v>5.969E-2</c:v>
                </c:pt>
                <c:pt idx="56">
                  <c:v>6.4560000000000006E-2</c:v>
                </c:pt>
                <c:pt idx="57">
                  <c:v>6.1589999999999999E-2</c:v>
                </c:pt>
                <c:pt idx="58">
                  <c:v>0.06</c:v>
                </c:pt>
                <c:pt idx="59">
                  <c:v>5.0779999999999999E-2</c:v>
                </c:pt>
                <c:pt idx="60">
                  <c:v>4.7320000000000001E-2</c:v>
                </c:pt>
                <c:pt idx="61">
                  <c:v>4.9399999999999999E-2</c:v>
                </c:pt>
                <c:pt idx="62">
                  <c:v>5.2760000000000001E-2</c:v>
                </c:pt>
                <c:pt idx="63">
                  <c:v>5.1659999999999998E-2</c:v>
                </c:pt>
                <c:pt idx="64">
                  <c:v>5.3969999999999997E-2</c:v>
                </c:pt>
                <c:pt idx="65">
                  <c:v>4.9889999999999997E-2</c:v>
                </c:pt>
                <c:pt idx="66">
                  <c:v>4.8009999999999997E-2</c:v>
                </c:pt>
                <c:pt idx="67">
                  <c:v>4.8280000000000003E-2</c:v>
                </c:pt>
                <c:pt idx="68">
                  <c:v>4.1399999999999999E-2</c:v>
                </c:pt>
                <c:pt idx="69">
                  <c:v>4.0759999999999998E-2</c:v>
                </c:pt>
                <c:pt idx="70">
                  <c:v>3.6580000000000001E-2</c:v>
                </c:pt>
                <c:pt idx="71">
                  <c:v>3.73E-2</c:v>
                </c:pt>
                <c:pt idx="72">
                  <c:v>3.3849999999999998E-2</c:v>
                </c:pt>
                <c:pt idx="73">
                  <c:v>3.7769999999999998E-2</c:v>
                </c:pt>
                <c:pt idx="74">
                  <c:v>3.5900000000000001E-2</c:v>
                </c:pt>
                <c:pt idx="75">
                  <c:v>3.5645000000000003E-2</c:v>
                </c:pt>
                <c:pt idx="76">
                  <c:v>3.5499999999999997E-2</c:v>
                </c:pt>
                <c:pt idx="77">
                  <c:v>3.6705000000000002E-2</c:v>
                </c:pt>
                <c:pt idx="78">
                  <c:v>3.9879999999999999E-2</c:v>
                </c:pt>
                <c:pt idx="79">
                  <c:v>4.2500000000000003E-2</c:v>
                </c:pt>
                <c:pt idx="80">
                  <c:v>3.8679999999999999E-2</c:v>
                </c:pt>
                <c:pt idx="81">
                  <c:v>4.2595000000000001E-2</c:v>
                </c:pt>
                <c:pt idx="82">
                  <c:v>4.3090000000000003E-2</c:v>
                </c:pt>
                <c:pt idx="83">
                  <c:v>4.5330000000000002E-2</c:v>
                </c:pt>
                <c:pt idx="84">
                  <c:v>4.5900000000000003E-2</c:v>
                </c:pt>
                <c:pt idx="85">
                  <c:v>4.6399999999999997E-2</c:v>
                </c:pt>
                <c:pt idx="86">
                  <c:v>4.333E-2</c:v>
                </c:pt>
                <c:pt idx="87">
                  <c:v>3.2599999999999997E-2</c:v>
                </c:pt>
                <c:pt idx="88">
                  <c:v>3.49E-2</c:v>
                </c:pt>
                <c:pt idx="89">
                  <c:v>3.6310000000000002E-2</c:v>
                </c:pt>
                <c:pt idx="90">
                  <c:v>3.5049999999999998E-2</c:v>
                </c:pt>
                <c:pt idx="91">
                  <c:v>3.8754999999999998E-2</c:v>
                </c:pt>
                <c:pt idx="92">
                  <c:v>3.5950000000000003E-2</c:v>
                </c:pt>
              </c:numCache>
            </c:numRef>
          </c:xVal>
          <c:yVal>
            <c:numRef>
              <c:f>'BaranovPI19-3_1_Лист'!$D$2:$D$94</c:f>
              <c:numCache>
                <c:formatCode>#\ ##0.00\ "₽"</c:formatCode>
                <c:ptCount val="93"/>
                <c:pt idx="0">
                  <c:v>53.589999999999996</c:v>
                </c:pt>
                <c:pt idx="1">
                  <c:v>55.82</c:v>
                </c:pt>
                <c:pt idx="2">
                  <c:v>55.88</c:v>
                </c:pt>
                <c:pt idx="3">
                  <c:v>49.7</c:v>
                </c:pt>
                <c:pt idx="4">
                  <c:v>49.29</c:v>
                </c:pt>
                <c:pt idx="5">
                  <c:v>46</c:v>
                </c:pt>
                <c:pt idx="6">
                  <c:v>47.010000000000005</c:v>
                </c:pt>
                <c:pt idx="7">
                  <c:v>46.61</c:v>
                </c:pt>
                <c:pt idx="8">
                  <c:v>44.5</c:v>
                </c:pt>
                <c:pt idx="9">
                  <c:v>42.67</c:v>
                </c:pt>
                <c:pt idx="10">
                  <c:v>44.35</c:v>
                </c:pt>
                <c:pt idx="11">
                  <c:v>46.28</c:v>
                </c:pt>
                <c:pt idx="12">
                  <c:v>49.660000000000004</c:v>
                </c:pt>
                <c:pt idx="13">
                  <c:v>45.44</c:v>
                </c:pt>
                <c:pt idx="14">
                  <c:v>42.13</c:v>
                </c:pt>
                <c:pt idx="15">
                  <c:v>39.6</c:v>
                </c:pt>
                <c:pt idx="16">
                  <c:v>38.65</c:v>
                </c:pt>
                <c:pt idx="17">
                  <c:v>47.9</c:v>
                </c:pt>
                <c:pt idx="18">
                  <c:v>41.099999999999994</c:v>
                </c:pt>
                <c:pt idx="19">
                  <c:v>39.800000000000004</c:v>
                </c:pt>
                <c:pt idx="20">
                  <c:v>38.4</c:v>
                </c:pt>
                <c:pt idx="21">
                  <c:v>38.04</c:v>
                </c:pt>
                <c:pt idx="22">
                  <c:v>39.93</c:v>
                </c:pt>
                <c:pt idx="23">
                  <c:v>46.699999999999996</c:v>
                </c:pt>
                <c:pt idx="24">
                  <c:v>67</c:v>
                </c:pt>
                <c:pt idx="25">
                  <c:v>68.94</c:v>
                </c:pt>
                <c:pt idx="26">
                  <c:v>68</c:v>
                </c:pt>
                <c:pt idx="27">
                  <c:v>60</c:v>
                </c:pt>
                <c:pt idx="28">
                  <c:v>65.5</c:v>
                </c:pt>
                <c:pt idx="29">
                  <c:v>80.25</c:v>
                </c:pt>
                <c:pt idx="30">
                  <c:v>79</c:v>
                </c:pt>
                <c:pt idx="31">
                  <c:v>72</c:v>
                </c:pt>
                <c:pt idx="32">
                  <c:v>69</c:v>
                </c:pt>
                <c:pt idx="33">
                  <c:v>67.7</c:v>
                </c:pt>
                <c:pt idx="34">
                  <c:v>72.349999999999994</c:v>
                </c:pt>
                <c:pt idx="35">
                  <c:v>71</c:v>
                </c:pt>
                <c:pt idx="36">
                  <c:v>79.699999999999989</c:v>
                </c:pt>
                <c:pt idx="37">
                  <c:v>73.7</c:v>
                </c:pt>
                <c:pt idx="38">
                  <c:v>73.400000000000006</c:v>
                </c:pt>
                <c:pt idx="39">
                  <c:v>76.679999999999993</c:v>
                </c:pt>
                <c:pt idx="40">
                  <c:v>70.05</c:v>
                </c:pt>
                <c:pt idx="41">
                  <c:v>68.400000000000006</c:v>
                </c:pt>
                <c:pt idx="42">
                  <c:v>68</c:v>
                </c:pt>
                <c:pt idx="43">
                  <c:v>67.41</c:v>
                </c:pt>
                <c:pt idx="44">
                  <c:v>68.489999999999995</c:v>
                </c:pt>
                <c:pt idx="45">
                  <c:v>72.099999999999994</c:v>
                </c:pt>
                <c:pt idx="46">
                  <c:v>67.75</c:v>
                </c:pt>
                <c:pt idx="47">
                  <c:v>69.400000000000006</c:v>
                </c:pt>
                <c:pt idx="48">
                  <c:v>74</c:v>
                </c:pt>
                <c:pt idx="49">
                  <c:v>68.97</c:v>
                </c:pt>
                <c:pt idx="50">
                  <c:v>66.08</c:v>
                </c:pt>
                <c:pt idx="51">
                  <c:v>66.25</c:v>
                </c:pt>
                <c:pt idx="52">
                  <c:v>66.710000000000008</c:v>
                </c:pt>
                <c:pt idx="53">
                  <c:v>66.150000000000006</c:v>
                </c:pt>
                <c:pt idx="54">
                  <c:v>64</c:v>
                </c:pt>
                <c:pt idx="55">
                  <c:v>59.69</c:v>
                </c:pt>
                <c:pt idx="56">
                  <c:v>64.56</c:v>
                </c:pt>
                <c:pt idx="57">
                  <c:v>61.589999999999996</c:v>
                </c:pt>
                <c:pt idx="58">
                  <c:v>60</c:v>
                </c:pt>
                <c:pt idx="59">
                  <c:v>50.78</c:v>
                </c:pt>
                <c:pt idx="60">
                  <c:v>47.32</c:v>
                </c:pt>
                <c:pt idx="61">
                  <c:v>49.4</c:v>
                </c:pt>
                <c:pt idx="62">
                  <c:v>52.76</c:v>
                </c:pt>
                <c:pt idx="63">
                  <c:v>51.66</c:v>
                </c:pt>
                <c:pt idx="64">
                  <c:v>53.97</c:v>
                </c:pt>
                <c:pt idx="65">
                  <c:v>49.889999999999993</c:v>
                </c:pt>
                <c:pt idx="66">
                  <c:v>48.01</c:v>
                </c:pt>
                <c:pt idx="67">
                  <c:v>48.28</c:v>
                </c:pt>
                <c:pt idx="68">
                  <c:v>41.4</c:v>
                </c:pt>
                <c:pt idx="69">
                  <c:v>40.76</c:v>
                </c:pt>
                <c:pt idx="70">
                  <c:v>36.58</c:v>
                </c:pt>
                <c:pt idx="71">
                  <c:v>37.299999999999997</c:v>
                </c:pt>
                <c:pt idx="72">
                  <c:v>33.85</c:v>
                </c:pt>
                <c:pt idx="73">
                  <c:v>37.769999999999996</c:v>
                </c:pt>
                <c:pt idx="74">
                  <c:v>35.9</c:v>
                </c:pt>
                <c:pt idx="75">
                  <c:v>35.645000000000003</c:v>
                </c:pt>
                <c:pt idx="76">
                  <c:v>35.5</c:v>
                </c:pt>
                <c:pt idx="77">
                  <c:v>36.704999999999998</c:v>
                </c:pt>
                <c:pt idx="78">
                  <c:v>39.879999999999995</c:v>
                </c:pt>
                <c:pt idx="79">
                  <c:v>42.5</c:v>
                </c:pt>
                <c:pt idx="80">
                  <c:v>38.68</c:v>
                </c:pt>
                <c:pt idx="81">
                  <c:v>42.594999999999999</c:v>
                </c:pt>
                <c:pt idx="82">
                  <c:v>43.09</c:v>
                </c:pt>
                <c:pt idx="83">
                  <c:v>45.330000000000005</c:v>
                </c:pt>
                <c:pt idx="84">
                  <c:v>45.900000000000006</c:v>
                </c:pt>
                <c:pt idx="85">
                  <c:v>46.4</c:v>
                </c:pt>
                <c:pt idx="86">
                  <c:v>43.33</c:v>
                </c:pt>
                <c:pt idx="87">
                  <c:v>32.599999999999994</c:v>
                </c:pt>
                <c:pt idx="88">
                  <c:v>34.9</c:v>
                </c:pt>
                <c:pt idx="89">
                  <c:v>36.31</c:v>
                </c:pt>
                <c:pt idx="90">
                  <c:v>35.049999999999997</c:v>
                </c:pt>
                <c:pt idx="91">
                  <c:v>38.754999999999995</c:v>
                </c:pt>
                <c:pt idx="92">
                  <c:v>35.950000000000003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1F-7943-A8A1-79D1C871FD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6762271"/>
        <c:axId val="1306697983"/>
      </c:scatterChart>
      <c:valAx>
        <c:axId val="13667622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06697983"/>
        <c:crosses val="autoZero"/>
        <c:crossBetween val="midCat"/>
      </c:valAx>
      <c:valAx>
        <c:axId val="130669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 &quot;₽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66762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2"/>
          <c:order val="1"/>
          <c:tx>
            <c:v>Газпром цена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'BaranovPI19-3_1_Лист'!$L$2:$L$94</c:f>
              <c:numCache>
                <c:formatCode>0.00</c:formatCode>
                <c:ptCount val="93"/>
                <c:pt idx="0">
                  <c:v>143.69999999999999</c:v>
                </c:pt>
                <c:pt idx="1">
                  <c:v>142.09</c:v>
                </c:pt>
                <c:pt idx="2">
                  <c:v>137.4</c:v>
                </c:pt>
                <c:pt idx="3">
                  <c:v>134.08000000000001</c:v>
                </c:pt>
                <c:pt idx="4">
                  <c:v>124.15</c:v>
                </c:pt>
                <c:pt idx="5">
                  <c:v>123.4</c:v>
                </c:pt>
                <c:pt idx="6">
                  <c:v>109.1</c:v>
                </c:pt>
                <c:pt idx="7">
                  <c:v>128.61000000000001</c:v>
                </c:pt>
                <c:pt idx="8">
                  <c:v>131.9</c:v>
                </c:pt>
                <c:pt idx="9">
                  <c:v>144.15</c:v>
                </c:pt>
                <c:pt idx="10">
                  <c:v>150.4</c:v>
                </c:pt>
                <c:pt idx="11">
                  <c:v>143.1</c:v>
                </c:pt>
                <c:pt idx="12">
                  <c:v>138.75</c:v>
                </c:pt>
                <c:pt idx="13">
                  <c:v>145.16</c:v>
                </c:pt>
                <c:pt idx="14">
                  <c:v>139.19999999999999</c:v>
                </c:pt>
                <c:pt idx="15">
                  <c:v>135.5</c:v>
                </c:pt>
                <c:pt idx="16">
                  <c:v>128.77000000000001</c:v>
                </c:pt>
                <c:pt idx="17">
                  <c:v>141.69999999999999</c:v>
                </c:pt>
                <c:pt idx="18">
                  <c:v>148.96</c:v>
                </c:pt>
                <c:pt idx="19">
                  <c:v>132</c:v>
                </c:pt>
                <c:pt idx="20">
                  <c:v>131.94999999999999</c:v>
                </c:pt>
                <c:pt idx="21">
                  <c:v>137.9</c:v>
                </c:pt>
                <c:pt idx="22">
                  <c:v>141.5</c:v>
                </c:pt>
                <c:pt idx="23">
                  <c:v>142.86000000000001</c:v>
                </c:pt>
                <c:pt idx="24">
                  <c:v>130.31</c:v>
                </c:pt>
                <c:pt idx="25">
                  <c:v>143.82</c:v>
                </c:pt>
                <c:pt idx="26">
                  <c:v>152.94999999999999</c:v>
                </c:pt>
                <c:pt idx="27">
                  <c:v>138.9</c:v>
                </c:pt>
                <c:pt idx="28">
                  <c:v>153.5</c:v>
                </c:pt>
                <c:pt idx="29">
                  <c:v>139</c:v>
                </c:pt>
                <c:pt idx="30">
                  <c:v>145.85</c:v>
                </c:pt>
                <c:pt idx="31">
                  <c:v>142.5</c:v>
                </c:pt>
                <c:pt idx="32">
                  <c:v>148.19</c:v>
                </c:pt>
                <c:pt idx="33">
                  <c:v>134.55000000000001</c:v>
                </c:pt>
                <c:pt idx="34">
                  <c:v>135.75</c:v>
                </c:pt>
                <c:pt idx="35">
                  <c:v>138</c:v>
                </c:pt>
                <c:pt idx="36">
                  <c:v>136.09</c:v>
                </c:pt>
                <c:pt idx="37">
                  <c:v>136.6</c:v>
                </c:pt>
                <c:pt idx="38">
                  <c:v>141.4</c:v>
                </c:pt>
                <c:pt idx="39">
                  <c:v>147.75</c:v>
                </c:pt>
                <c:pt idx="40">
                  <c:v>168.47</c:v>
                </c:pt>
                <c:pt idx="41">
                  <c:v>145.5</c:v>
                </c:pt>
                <c:pt idx="42">
                  <c:v>139.51</c:v>
                </c:pt>
                <c:pt idx="43">
                  <c:v>137.30000000000001</c:v>
                </c:pt>
                <c:pt idx="44">
                  <c:v>134.94999999999999</c:v>
                </c:pt>
                <c:pt idx="45">
                  <c:v>134.9</c:v>
                </c:pt>
                <c:pt idx="46">
                  <c:v>138.84</c:v>
                </c:pt>
                <c:pt idx="47">
                  <c:v>148.80000000000001</c:v>
                </c:pt>
                <c:pt idx="48">
                  <c:v>154.55000000000001</c:v>
                </c:pt>
                <c:pt idx="49">
                  <c:v>149.80000000000001</c:v>
                </c:pt>
                <c:pt idx="50">
                  <c:v>134</c:v>
                </c:pt>
                <c:pt idx="51">
                  <c:v>127.9</c:v>
                </c:pt>
                <c:pt idx="52">
                  <c:v>136.75</c:v>
                </c:pt>
                <c:pt idx="53">
                  <c:v>120.28</c:v>
                </c:pt>
                <c:pt idx="54">
                  <c:v>118.49</c:v>
                </c:pt>
                <c:pt idx="55">
                  <c:v>116.1</c:v>
                </c:pt>
                <c:pt idx="56">
                  <c:v>117.97</c:v>
                </c:pt>
                <c:pt idx="57">
                  <c:v>122.2</c:v>
                </c:pt>
                <c:pt idx="58">
                  <c:v>125.9</c:v>
                </c:pt>
                <c:pt idx="59">
                  <c:v>132.15</c:v>
                </c:pt>
                <c:pt idx="60">
                  <c:v>130.5</c:v>
                </c:pt>
                <c:pt idx="61">
                  <c:v>143.36000000000001</c:v>
                </c:pt>
                <c:pt idx="62">
                  <c:v>143.16</c:v>
                </c:pt>
                <c:pt idx="63">
                  <c:v>142.33000000000001</c:v>
                </c:pt>
                <c:pt idx="64">
                  <c:v>145.93</c:v>
                </c:pt>
                <c:pt idx="65">
                  <c:v>145</c:v>
                </c:pt>
                <c:pt idx="66">
                  <c:v>141.01</c:v>
                </c:pt>
                <c:pt idx="67">
                  <c:v>143.79</c:v>
                </c:pt>
                <c:pt idx="68">
                  <c:v>149.94999999999999</c:v>
                </c:pt>
                <c:pt idx="69">
                  <c:v>162.61000000000001</c:v>
                </c:pt>
                <c:pt idx="70">
                  <c:v>155.47</c:v>
                </c:pt>
                <c:pt idx="71">
                  <c:v>161.29</c:v>
                </c:pt>
                <c:pt idx="72">
                  <c:v>153.5</c:v>
                </c:pt>
                <c:pt idx="73">
                  <c:v>162.82</c:v>
                </c:pt>
                <c:pt idx="74">
                  <c:v>158.99</c:v>
                </c:pt>
                <c:pt idx="75">
                  <c:v>149.61000000000001</c:v>
                </c:pt>
                <c:pt idx="76">
                  <c:v>163.95</c:v>
                </c:pt>
                <c:pt idx="77">
                  <c:v>215.1</c:v>
                </c:pt>
                <c:pt idx="78">
                  <c:v>232.83</c:v>
                </c:pt>
                <c:pt idx="79">
                  <c:v>236.9</c:v>
                </c:pt>
                <c:pt idx="80">
                  <c:v>232.15</c:v>
                </c:pt>
                <c:pt idx="81">
                  <c:v>225.9</c:v>
                </c:pt>
                <c:pt idx="82">
                  <c:v>260</c:v>
                </c:pt>
                <c:pt idx="83">
                  <c:v>257.54000000000002</c:v>
                </c:pt>
                <c:pt idx="84">
                  <c:v>256.39999999999998</c:v>
                </c:pt>
                <c:pt idx="85">
                  <c:v>226.7</c:v>
                </c:pt>
                <c:pt idx="86">
                  <c:v>202.65</c:v>
                </c:pt>
                <c:pt idx="87">
                  <c:v>181.41</c:v>
                </c:pt>
                <c:pt idx="88">
                  <c:v>190</c:v>
                </c:pt>
                <c:pt idx="89">
                  <c:v>199.95</c:v>
                </c:pt>
                <c:pt idx="90">
                  <c:v>194.31</c:v>
                </c:pt>
                <c:pt idx="91">
                  <c:v>182.59</c:v>
                </c:pt>
                <c:pt idx="92">
                  <c:v>182.9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47E-3E43-A7DC-66E74A7A99AD}"/>
            </c:ext>
          </c:extLst>
        </c:ser>
        <c:ser>
          <c:idx val="1"/>
          <c:order val="2"/>
          <c:tx>
            <c:strRef>
              <c:f>'BaranovPI19-3_1_Лист'!$G$1</c:f>
              <c:strCache>
                <c:ptCount val="1"/>
                <c:pt idx="0">
                  <c:v>Сбербанк цена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'BaranovPI19-3_1_Лист'!$A$2:$A$94</c:f>
              <c:numCache>
                <c:formatCode>[$-F800]dddd\,\ mmmm\ dd\,\ yyyy</c:formatCode>
                <c:ptCount val="93"/>
                <c:pt idx="0">
                  <c:v>41244</c:v>
                </c:pt>
                <c:pt idx="1">
                  <c:v>41275</c:v>
                </c:pt>
                <c:pt idx="2">
                  <c:v>41306</c:v>
                </c:pt>
                <c:pt idx="3">
                  <c:v>41334</c:v>
                </c:pt>
                <c:pt idx="4">
                  <c:v>41365</c:v>
                </c:pt>
                <c:pt idx="5">
                  <c:v>41395</c:v>
                </c:pt>
                <c:pt idx="6">
                  <c:v>41426</c:v>
                </c:pt>
                <c:pt idx="7">
                  <c:v>41456</c:v>
                </c:pt>
                <c:pt idx="8">
                  <c:v>41487</c:v>
                </c:pt>
                <c:pt idx="9">
                  <c:v>41518</c:v>
                </c:pt>
                <c:pt idx="10">
                  <c:v>41548</c:v>
                </c:pt>
                <c:pt idx="11">
                  <c:v>41579</c:v>
                </c:pt>
                <c:pt idx="12">
                  <c:v>41609</c:v>
                </c:pt>
                <c:pt idx="13">
                  <c:v>41640</c:v>
                </c:pt>
                <c:pt idx="14">
                  <c:v>41671</c:v>
                </c:pt>
                <c:pt idx="15">
                  <c:v>41699</c:v>
                </c:pt>
                <c:pt idx="16">
                  <c:v>41730</c:v>
                </c:pt>
                <c:pt idx="17">
                  <c:v>41760</c:v>
                </c:pt>
                <c:pt idx="18">
                  <c:v>41791</c:v>
                </c:pt>
                <c:pt idx="19">
                  <c:v>41821</c:v>
                </c:pt>
                <c:pt idx="20">
                  <c:v>41852</c:v>
                </c:pt>
                <c:pt idx="21">
                  <c:v>41883</c:v>
                </c:pt>
                <c:pt idx="22">
                  <c:v>41913</c:v>
                </c:pt>
                <c:pt idx="23">
                  <c:v>41944</c:v>
                </c:pt>
                <c:pt idx="24">
                  <c:v>41974</c:v>
                </c:pt>
                <c:pt idx="25">
                  <c:v>42005</c:v>
                </c:pt>
                <c:pt idx="26">
                  <c:v>42036</c:v>
                </c:pt>
                <c:pt idx="27">
                  <c:v>42064</c:v>
                </c:pt>
                <c:pt idx="28">
                  <c:v>42095</c:v>
                </c:pt>
                <c:pt idx="29">
                  <c:v>42125</c:v>
                </c:pt>
                <c:pt idx="30">
                  <c:v>42156</c:v>
                </c:pt>
                <c:pt idx="31">
                  <c:v>42186</c:v>
                </c:pt>
                <c:pt idx="32">
                  <c:v>42217</c:v>
                </c:pt>
                <c:pt idx="33">
                  <c:v>42248</c:v>
                </c:pt>
                <c:pt idx="34">
                  <c:v>42278</c:v>
                </c:pt>
                <c:pt idx="35">
                  <c:v>42309</c:v>
                </c:pt>
                <c:pt idx="36">
                  <c:v>42339</c:v>
                </c:pt>
                <c:pt idx="37">
                  <c:v>42370</c:v>
                </c:pt>
                <c:pt idx="38">
                  <c:v>42401</c:v>
                </c:pt>
                <c:pt idx="39">
                  <c:v>42430</c:v>
                </c:pt>
                <c:pt idx="40">
                  <c:v>42461</c:v>
                </c:pt>
                <c:pt idx="41">
                  <c:v>42491</c:v>
                </c:pt>
                <c:pt idx="42">
                  <c:v>42522</c:v>
                </c:pt>
                <c:pt idx="43">
                  <c:v>42552</c:v>
                </c:pt>
                <c:pt idx="44">
                  <c:v>42583</c:v>
                </c:pt>
                <c:pt idx="45">
                  <c:v>42614</c:v>
                </c:pt>
                <c:pt idx="46">
                  <c:v>42644</c:v>
                </c:pt>
                <c:pt idx="47">
                  <c:v>42675</c:v>
                </c:pt>
                <c:pt idx="48">
                  <c:v>42705</c:v>
                </c:pt>
                <c:pt idx="49">
                  <c:v>42736</c:v>
                </c:pt>
                <c:pt idx="50">
                  <c:v>42767</c:v>
                </c:pt>
                <c:pt idx="51">
                  <c:v>42795</c:v>
                </c:pt>
                <c:pt idx="52">
                  <c:v>42826</c:v>
                </c:pt>
                <c:pt idx="53">
                  <c:v>42856</c:v>
                </c:pt>
                <c:pt idx="54">
                  <c:v>42887</c:v>
                </c:pt>
                <c:pt idx="55">
                  <c:v>42917</c:v>
                </c:pt>
                <c:pt idx="56">
                  <c:v>42948</c:v>
                </c:pt>
                <c:pt idx="57">
                  <c:v>42979</c:v>
                </c:pt>
                <c:pt idx="58">
                  <c:v>43009</c:v>
                </c:pt>
                <c:pt idx="59">
                  <c:v>43040</c:v>
                </c:pt>
                <c:pt idx="60">
                  <c:v>43070</c:v>
                </c:pt>
                <c:pt idx="61">
                  <c:v>43101</c:v>
                </c:pt>
                <c:pt idx="62">
                  <c:v>43132</c:v>
                </c:pt>
                <c:pt idx="63">
                  <c:v>43160</c:v>
                </c:pt>
                <c:pt idx="64">
                  <c:v>43191</c:v>
                </c:pt>
                <c:pt idx="65">
                  <c:v>43221</c:v>
                </c:pt>
                <c:pt idx="66">
                  <c:v>43252</c:v>
                </c:pt>
                <c:pt idx="67">
                  <c:v>43282</c:v>
                </c:pt>
                <c:pt idx="68">
                  <c:v>43313</c:v>
                </c:pt>
                <c:pt idx="69">
                  <c:v>43344</c:v>
                </c:pt>
                <c:pt idx="70">
                  <c:v>43374</c:v>
                </c:pt>
                <c:pt idx="71">
                  <c:v>43405</c:v>
                </c:pt>
                <c:pt idx="72">
                  <c:v>43435</c:v>
                </c:pt>
                <c:pt idx="73">
                  <c:v>43466</c:v>
                </c:pt>
                <c:pt idx="74">
                  <c:v>43497</c:v>
                </c:pt>
                <c:pt idx="75">
                  <c:v>43525</c:v>
                </c:pt>
                <c:pt idx="76">
                  <c:v>43556</c:v>
                </c:pt>
                <c:pt idx="77">
                  <c:v>43586</c:v>
                </c:pt>
                <c:pt idx="78">
                  <c:v>43617</c:v>
                </c:pt>
                <c:pt idx="79">
                  <c:v>43647</c:v>
                </c:pt>
                <c:pt idx="80">
                  <c:v>43678</c:v>
                </c:pt>
                <c:pt idx="81">
                  <c:v>43709</c:v>
                </c:pt>
                <c:pt idx="82">
                  <c:v>43739</c:v>
                </c:pt>
                <c:pt idx="83">
                  <c:v>43770</c:v>
                </c:pt>
                <c:pt idx="84">
                  <c:v>43800</c:v>
                </c:pt>
                <c:pt idx="85">
                  <c:v>43831</c:v>
                </c:pt>
                <c:pt idx="86">
                  <c:v>43862</c:v>
                </c:pt>
                <c:pt idx="87">
                  <c:v>43891</c:v>
                </c:pt>
                <c:pt idx="88">
                  <c:v>43922</c:v>
                </c:pt>
                <c:pt idx="89">
                  <c:v>43952</c:v>
                </c:pt>
                <c:pt idx="90">
                  <c:v>43983</c:v>
                </c:pt>
                <c:pt idx="91">
                  <c:v>44013</c:v>
                </c:pt>
                <c:pt idx="92">
                  <c:v>44044</c:v>
                </c:pt>
              </c:numCache>
            </c:numRef>
          </c:cat>
          <c:val>
            <c:numRef>
              <c:f>'BaranovPI19-3_1_Лист'!$G$2:$G$94</c:f>
              <c:numCache>
                <c:formatCode>0.00</c:formatCode>
                <c:ptCount val="93"/>
                <c:pt idx="0">
                  <c:v>92.94</c:v>
                </c:pt>
                <c:pt idx="1">
                  <c:v>109.59</c:v>
                </c:pt>
                <c:pt idx="2">
                  <c:v>104.57</c:v>
                </c:pt>
                <c:pt idx="3">
                  <c:v>98.86</c:v>
                </c:pt>
                <c:pt idx="4">
                  <c:v>99.11</c:v>
                </c:pt>
                <c:pt idx="5">
                  <c:v>99.05</c:v>
                </c:pt>
                <c:pt idx="6">
                  <c:v>93.68</c:v>
                </c:pt>
                <c:pt idx="7">
                  <c:v>95.23</c:v>
                </c:pt>
                <c:pt idx="8">
                  <c:v>88.23</c:v>
                </c:pt>
                <c:pt idx="9">
                  <c:v>97.86</c:v>
                </c:pt>
                <c:pt idx="10">
                  <c:v>102.74</c:v>
                </c:pt>
                <c:pt idx="11">
                  <c:v>103.07</c:v>
                </c:pt>
                <c:pt idx="12">
                  <c:v>101.17</c:v>
                </c:pt>
                <c:pt idx="13">
                  <c:v>94.7</c:v>
                </c:pt>
                <c:pt idx="14">
                  <c:v>91.16</c:v>
                </c:pt>
                <c:pt idx="15">
                  <c:v>83.8</c:v>
                </c:pt>
                <c:pt idx="16">
                  <c:v>72.5</c:v>
                </c:pt>
                <c:pt idx="17">
                  <c:v>84.5</c:v>
                </c:pt>
                <c:pt idx="18">
                  <c:v>84.5</c:v>
                </c:pt>
                <c:pt idx="19">
                  <c:v>73.599999999999994</c:v>
                </c:pt>
                <c:pt idx="20">
                  <c:v>73.209999999999994</c:v>
                </c:pt>
                <c:pt idx="21">
                  <c:v>75.52</c:v>
                </c:pt>
                <c:pt idx="22">
                  <c:v>76.23</c:v>
                </c:pt>
                <c:pt idx="23">
                  <c:v>72.25</c:v>
                </c:pt>
                <c:pt idx="24">
                  <c:v>54.9</c:v>
                </c:pt>
                <c:pt idx="25">
                  <c:v>61.5</c:v>
                </c:pt>
                <c:pt idx="26">
                  <c:v>75.91</c:v>
                </c:pt>
                <c:pt idx="27">
                  <c:v>62.88</c:v>
                </c:pt>
                <c:pt idx="28">
                  <c:v>76.900000000000006</c:v>
                </c:pt>
                <c:pt idx="29">
                  <c:v>73.5</c:v>
                </c:pt>
                <c:pt idx="30">
                  <c:v>72.349999999999994</c:v>
                </c:pt>
                <c:pt idx="31">
                  <c:v>72.3</c:v>
                </c:pt>
                <c:pt idx="32">
                  <c:v>74.5</c:v>
                </c:pt>
                <c:pt idx="33">
                  <c:v>75.3</c:v>
                </c:pt>
                <c:pt idx="34">
                  <c:v>90.53</c:v>
                </c:pt>
                <c:pt idx="35">
                  <c:v>102.9</c:v>
                </c:pt>
                <c:pt idx="36">
                  <c:v>101.26</c:v>
                </c:pt>
                <c:pt idx="37">
                  <c:v>96.5</c:v>
                </c:pt>
                <c:pt idx="38">
                  <c:v>107</c:v>
                </c:pt>
                <c:pt idx="39">
                  <c:v>109.9</c:v>
                </c:pt>
                <c:pt idx="40">
                  <c:v>123.55</c:v>
                </c:pt>
                <c:pt idx="41">
                  <c:v>132.56</c:v>
                </c:pt>
                <c:pt idx="42">
                  <c:v>133</c:v>
                </c:pt>
                <c:pt idx="43">
                  <c:v>139.15</c:v>
                </c:pt>
                <c:pt idx="44">
                  <c:v>143.5</c:v>
                </c:pt>
                <c:pt idx="45">
                  <c:v>145.34</c:v>
                </c:pt>
                <c:pt idx="46">
                  <c:v>147.4</c:v>
                </c:pt>
                <c:pt idx="47">
                  <c:v>158.69999999999999</c:v>
                </c:pt>
                <c:pt idx="48">
                  <c:v>173.25</c:v>
                </c:pt>
                <c:pt idx="49">
                  <c:v>172.2</c:v>
                </c:pt>
                <c:pt idx="50">
                  <c:v>156</c:v>
                </c:pt>
                <c:pt idx="51">
                  <c:v>159.80000000000001</c:v>
                </c:pt>
                <c:pt idx="52">
                  <c:v>165.2</c:v>
                </c:pt>
                <c:pt idx="53">
                  <c:v>155.93</c:v>
                </c:pt>
                <c:pt idx="54">
                  <c:v>145.59</c:v>
                </c:pt>
                <c:pt idx="55">
                  <c:v>164.53</c:v>
                </c:pt>
                <c:pt idx="56">
                  <c:v>183.51</c:v>
                </c:pt>
                <c:pt idx="57">
                  <c:v>192.33</c:v>
                </c:pt>
                <c:pt idx="58">
                  <c:v>193.8</c:v>
                </c:pt>
                <c:pt idx="59">
                  <c:v>224.35</c:v>
                </c:pt>
                <c:pt idx="60">
                  <c:v>225.2</c:v>
                </c:pt>
                <c:pt idx="61">
                  <c:v>264.5</c:v>
                </c:pt>
                <c:pt idx="62">
                  <c:v>272.39999999999998</c:v>
                </c:pt>
                <c:pt idx="63">
                  <c:v>253.57</c:v>
                </c:pt>
                <c:pt idx="64">
                  <c:v>226.99</c:v>
                </c:pt>
                <c:pt idx="65">
                  <c:v>222.36</c:v>
                </c:pt>
                <c:pt idx="66">
                  <c:v>218</c:v>
                </c:pt>
                <c:pt idx="67">
                  <c:v>214.86</c:v>
                </c:pt>
                <c:pt idx="68">
                  <c:v>182</c:v>
                </c:pt>
                <c:pt idx="69">
                  <c:v>203.32</c:v>
                </c:pt>
                <c:pt idx="70">
                  <c:v>189.8</c:v>
                </c:pt>
                <c:pt idx="71">
                  <c:v>194</c:v>
                </c:pt>
                <c:pt idx="72">
                  <c:v>186.3</c:v>
                </c:pt>
                <c:pt idx="73">
                  <c:v>217.9</c:v>
                </c:pt>
                <c:pt idx="74">
                  <c:v>207.8</c:v>
                </c:pt>
                <c:pt idx="75">
                  <c:v>214.42</c:v>
                </c:pt>
                <c:pt idx="76">
                  <c:v>225.17</c:v>
                </c:pt>
                <c:pt idx="77">
                  <c:v>233.24</c:v>
                </c:pt>
                <c:pt idx="78">
                  <c:v>238.55</c:v>
                </c:pt>
                <c:pt idx="79">
                  <c:v>233.49</c:v>
                </c:pt>
                <c:pt idx="80">
                  <c:v>224.2</c:v>
                </c:pt>
                <c:pt idx="81">
                  <c:v>227.71</c:v>
                </c:pt>
                <c:pt idx="82">
                  <c:v>234.89</c:v>
                </c:pt>
                <c:pt idx="83">
                  <c:v>233.98</c:v>
                </c:pt>
                <c:pt idx="84">
                  <c:v>254.75</c:v>
                </c:pt>
                <c:pt idx="85">
                  <c:v>252.2</c:v>
                </c:pt>
                <c:pt idx="86">
                  <c:v>233.36</c:v>
                </c:pt>
                <c:pt idx="87">
                  <c:v>187.21</c:v>
                </c:pt>
                <c:pt idx="88">
                  <c:v>197.25</c:v>
                </c:pt>
                <c:pt idx="89">
                  <c:v>200.5</c:v>
                </c:pt>
                <c:pt idx="90">
                  <c:v>203.22</c:v>
                </c:pt>
                <c:pt idx="91">
                  <c:v>221.57</c:v>
                </c:pt>
                <c:pt idx="92">
                  <c:v>226.3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7E-3E43-A7DC-66E74A7A9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4379935"/>
        <c:axId val="1675984895"/>
      </c:lineChart>
      <c:lineChart>
        <c:grouping val="standard"/>
        <c:varyColors val="0"/>
        <c:ser>
          <c:idx val="0"/>
          <c:order val="0"/>
          <c:tx>
            <c:strRef>
              <c:f>'BaranovPI19-3_1_Лист'!$B$1</c:f>
              <c:strCache>
                <c:ptCount val="1"/>
                <c:pt idx="0">
                  <c:v>Втб ао цена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'BaranovPI19-3_1_Лист'!$A$2:$A$94</c:f>
              <c:numCache>
                <c:formatCode>[$-F800]dddd\,\ mmmm\ dd\,\ yyyy</c:formatCode>
                <c:ptCount val="93"/>
                <c:pt idx="0">
                  <c:v>41244</c:v>
                </c:pt>
                <c:pt idx="1">
                  <c:v>41275</c:v>
                </c:pt>
                <c:pt idx="2">
                  <c:v>41306</c:v>
                </c:pt>
                <c:pt idx="3">
                  <c:v>41334</c:v>
                </c:pt>
                <c:pt idx="4">
                  <c:v>41365</c:v>
                </c:pt>
                <c:pt idx="5">
                  <c:v>41395</c:v>
                </c:pt>
                <c:pt idx="6">
                  <c:v>41426</c:v>
                </c:pt>
                <c:pt idx="7">
                  <c:v>41456</c:v>
                </c:pt>
                <c:pt idx="8">
                  <c:v>41487</c:v>
                </c:pt>
                <c:pt idx="9">
                  <c:v>41518</c:v>
                </c:pt>
                <c:pt idx="10">
                  <c:v>41548</c:v>
                </c:pt>
                <c:pt idx="11">
                  <c:v>41579</c:v>
                </c:pt>
                <c:pt idx="12">
                  <c:v>41609</c:v>
                </c:pt>
                <c:pt idx="13">
                  <c:v>41640</c:v>
                </c:pt>
                <c:pt idx="14">
                  <c:v>41671</c:v>
                </c:pt>
                <c:pt idx="15">
                  <c:v>41699</c:v>
                </c:pt>
                <c:pt idx="16">
                  <c:v>41730</c:v>
                </c:pt>
                <c:pt idx="17">
                  <c:v>41760</c:v>
                </c:pt>
                <c:pt idx="18">
                  <c:v>41791</c:v>
                </c:pt>
                <c:pt idx="19">
                  <c:v>41821</c:v>
                </c:pt>
                <c:pt idx="20">
                  <c:v>41852</c:v>
                </c:pt>
                <c:pt idx="21">
                  <c:v>41883</c:v>
                </c:pt>
                <c:pt idx="22">
                  <c:v>41913</c:v>
                </c:pt>
                <c:pt idx="23">
                  <c:v>41944</c:v>
                </c:pt>
                <c:pt idx="24">
                  <c:v>41974</c:v>
                </c:pt>
                <c:pt idx="25">
                  <c:v>42005</c:v>
                </c:pt>
                <c:pt idx="26">
                  <c:v>42036</c:v>
                </c:pt>
                <c:pt idx="27">
                  <c:v>42064</c:v>
                </c:pt>
                <c:pt idx="28">
                  <c:v>42095</c:v>
                </c:pt>
                <c:pt idx="29">
                  <c:v>42125</c:v>
                </c:pt>
                <c:pt idx="30">
                  <c:v>42156</c:v>
                </c:pt>
                <c:pt idx="31">
                  <c:v>42186</c:v>
                </c:pt>
                <c:pt idx="32">
                  <c:v>42217</c:v>
                </c:pt>
                <c:pt idx="33">
                  <c:v>42248</c:v>
                </c:pt>
                <c:pt idx="34">
                  <c:v>42278</c:v>
                </c:pt>
                <c:pt idx="35">
                  <c:v>42309</c:v>
                </c:pt>
                <c:pt idx="36">
                  <c:v>42339</c:v>
                </c:pt>
                <c:pt idx="37">
                  <c:v>42370</c:v>
                </c:pt>
                <c:pt idx="38">
                  <c:v>42401</c:v>
                </c:pt>
                <c:pt idx="39">
                  <c:v>42430</c:v>
                </c:pt>
                <c:pt idx="40">
                  <c:v>42461</c:v>
                </c:pt>
                <c:pt idx="41">
                  <c:v>42491</c:v>
                </c:pt>
                <c:pt idx="42">
                  <c:v>42522</c:v>
                </c:pt>
                <c:pt idx="43">
                  <c:v>42552</c:v>
                </c:pt>
                <c:pt idx="44">
                  <c:v>42583</c:v>
                </c:pt>
                <c:pt idx="45">
                  <c:v>42614</c:v>
                </c:pt>
                <c:pt idx="46">
                  <c:v>42644</c:v>
                </c:pt>
                <c:pt idx="47">
                  <c:v>42675</c:v>
                </c:pt>
                <c:pt idx="48">
                  <c:v>42705</c:v>
                </c:pt>
                <c:pt idx="49">
                  <c:v>42736</c:v>
                </c:pt>
                <c:pt idx="50">
                  <c:v>42767</c:v>
                </c:pt>
                <c:pt idx="51">
                  <c:v>42795</c:v>
                </c:pt>
                <c:pt idx="52">
                  <c:v>42826</c:v>
                </c:pt>
                <c:pt idx="53">
                  <c:v>42856</c:v>
                </c:pt>
                <c:pt idx="54">
                  <c:v>42887</c:v>
                </c:pt>
                <c:pt idx="55">
                  <c:v>42917</c:v>
                </c:pt>
                <c:pt idx="56">
                  <c:v>42948</c:v>
                </c:pt>
                <c:pt idx="57">
                  <c:v>42979</c:v>
                </c:pt>
                <c:pt idx="58">
                  <c:v>43009</c:v>
                </c:pt>
                <c:pt idx="59">
                  <c:v>43040</c:v>
                </c:pt>
                <c:pt idx="60">
                  <c:v>43070</c:v>
                </c:pt>
                <c:pt idx="61">
                  <c:v>43101</c:v>
                </c:pt>
                <c:pt idx="62">
                  <c:v>43132</c:v>
                </c:pt>
                <c:pt idx="63">
                  <c:v>43160</c:v>
                </c:pt>
                <c:pt idx="64">
                  <c:v>43191</c:v>
                </c:pt>
                <c:pt idx="65">
                  <c:v>43221</c:v>
                </c:pt>
                <c:pt idx="66">
                  <c:v>43252</c:v>
                </c:pt>
                <c:pt idx="67">
                  <c:v>43282</c:v>
                </c:pt>
                <c:pt idx="68">
                  <c:v>43313</c:v>
                </c:pt>
                <c:pt idx="69">
                  <c:v>43344</c:v>
                </c:pt>
                <c:pt idx="70">
                  <c:v>43374</c:v>
                </c:pt>
                <c:pt idx="71">
                  <c:v>43405</c:v>
                </c:pt>
                <c:pt idx="72">
                  <c:v>43435</c:v>
                </c:pt>
                <c:pt idx="73">
                  <c:v>43466</c:v>
                </c:pt>
                <c:pt idx="74">
                  <c:v>43497</c:v>
                </c:pt>
                <c:pt idx="75">
                  <c:v>43525</c:v>
                </c:pt>
                <c:pt idx="76">
                  <c:v>43556</c:v>
                </c:pt>
                <c:pt idx="77">
                  <c:v>43586</c:v>
                </c:pt>
                <c:pt idx="78">
                  <c:v>43617</c:v>
                </c:pt>
                <c:pt idx="79">
                  <c:v>43647</c:v>
                </c:pt>
                <c:pt idx="80">
                  <c:v>43678</c:v>
                </c:pt>
                <c:pt idx="81">
                  <c:v>43709</c:v>
                </c:pt>
                <c:pt idx="82">
                  <c:v>43739</c:v>
                </c:pt>
                <c:pt idx="83">
                  <c:v>43770</c:v>
                </c:pt>
                <c:pt idx="84">
                  <c:v>43800</c:v>
                </c:pt>
                <c:pt idx="85">
                  <c:v>43831</c:v>
                </c:pt>
                <c:pt idx="86">
                  <c:v>43862</c:v>
                </c:pt>
                <c:pt idx="87">
                  <c:v>43891</c:v>
                </c:pt>
                <c:pt idx="88">
                  <c:v>43922</c:v>
                </c:pt>
                <c:pt idx="89">
                  <c:v>43952</c:v>
                </c:pt>
                <c:pt idx="90">
                  <c:v>43983</c:v>
                </c:pt>
                <c:pt idx="91">
                  <c:v>44013</c:v>
                </c:pt>
                <c:pt idx="92">
                  <c:v>44044</c:v>
                </c:pt>
              </c:numCache>
            </c:numRef>
          </c:cat>
          <c:val>
            <c:numRef>
              <c:f>'BaranovPI19-3_1_Лист'!$B$2:$B$94</c:f>
              <c:numCache>
                <c:formatCode>0.00</c:formatCode>
                <c:ptCount val="93"/>
                <c:pt idx="0">
                  <c:v>5.3589999999999999E-2</c:v>
                </c:pt>
                <c:pt idx="1">
                  <c:v>5.5820000000000002E-2</c:v>
                </c:pt>
                <c:pt idx="2">
                  <c:v>5.5879999999999999E-2</c:v>
                </c:pt>
                <c:pt idx="3">
                  <c:v>4.9700000000000001E-2</c:v>
                </c:pt>
                <c:pt idx="4">
                  <c:v>4.929E-2</c:v>
                </c:pt>
                <c:pt idx="5">
                  <c:v>4.5999999999999999E-2</c:v>
                </c:pt>
                <c:pt idx="6">
                  <c:v>4.7010000000000003E-2</c:v>
                </c:pt>
                <c:pt idx="7">
                  <c:v>4.6609999999999999E-2</c:v>
                </c:pt>
                <c:pt idx="8">
                  <c:v>4.4499999999999998E-2</c:v>
                </c:pt>
                <c:pt idx="9">
                  <c:v>4.267E-2</c:v>
                </c:pt>
                <c:pt idx="10">
                  <c:v>4.4350000000000001E-2</c:v>
                </c:pt>
                <c:pt idx="11">
                  <c:v>4.6280000000000002E-2</c:v>
                </c:pt>
                <c:pt idx="12">
                  <c:v>4.9660000000000003E-2</c:v>
                </c:pt>
                <c:pt idx="13">
                  <c:v>4.5440000000000001E-2</c:v>
                </c:pt>
                <c:pt idx="14">
                  <c:v>4.2130000000000001E-2</c:v>
                </c:pt>
                <c:pt idx="15">
                  <c:v>3.9600000000000003E-2</c:v>
                </c:pt>
                <c:pt idx="16">
                  <c:v>3.8649999999999997E-2</c:v>
                </c:pt>
                <c:pt idx="17">
                  <c:v>4.7899999999999998E-2</c:v>
                </c:pt>
                <c:pt idx="18">
                  <c:v>4.1099999999999998E-2</c:v>
                </c:pt>
                <c:pt idx="19">
                  <c:v>3.9800000000000002E-2</c:v>
                </c:pt>
                <c:pt idx="20">
                  <c:v>3.8399999999999997E-2</c:v>
                </c:pt>
                <c:pt idx="21">
                  <c:v>3.8039999999999997E-2</c:v>
                </c:pt>
                <c:pt idx="22">
                  <c:v>3.993E-2</c:v>
                </c:pt>
                <c:pt idx="23">
                  <c:v>4.6699999999999998E-2</c:v>
                </c:pt>
                <c:pt idx="24">
                  <c:v>6.7000000000000004E-2</c:v>
                </c:pt>
                <c:pt idx="25">
                  <c:v>6.8940000000000001E-2</c:v>
                </c:pt>
                <c:pt idx="26">
                  <c:v>6.8000000000000005E-2</c:v>
                </c:pt>
                <c:pt idx="27">
                  <c:v>0.06</c:v>
                </c:pt>
                <c:pt idx="28">
                  <c:v>6.5500000000000003E-2</c:v>
                </c:pt>
                <c:pt idx="29">
                  <c:v>8.0250000000000002E-2</c:v>
                </c:pt>
                <c:pt idx="30">
                  <c:v>7.9000000000000001E-2</c:v>
                </c:pt>
                <c:pt idx="31">
                  <c:v>7.1999999999999995E-2</c:v>
                </c:pt>
                <c:pt idx="32">
                  <c:v>6.9000000000000006E-2</c:v>
                </c:pt>
                <c:pt idx="33">
                  <c:v>6.7699999999999996E-2</c:v>
                </c:pt>
                <c:pt idx="34">
                  <c:v>7.2349999999999998E-2</c:v>
                </c:pt>
                <c:pt idx="35">
                  <c:v>7.0999999999999994E-2</c:v>
                </c:pt>
                <c:pt idx="36">
                  <c:v>7.9699999999999993E-2</c:v>
                </c:pt>
                <c:pt idx="37">
                  <c:v>7.3700000000000002E-2</c:v>
                </c:pt>
                <c:pt idx="38">
                  <c:v>7.3400000000000007E-2</c:v>
                </c:pt>
                <c:pt idx="39">
                  <c:v>7.6679999999999998E-2</c:v>
                </c:pt>
                <c:pt idx="40">
                  <c:v>7.0050000000000001E-2</c:v>
                </c:pt>
                <c:pt idx="41">
                  <c:v>6.8400000000000002E-2</c:v>
                </c:pt>
                <c:pt idx="42">
                  <c:v>6.8000000000000005E-2</c:v>
                </c:pt>
                <c:pt idx="43">
                  <c:v>6.7409999999999998E-2</c:v>
                </c:pt>
                <c:pt idx="44">
                  <c:v>6.8489999999999995E-2</c:v>
                </c:pt>
                <c:pt idx="45">
                  <c:v>7.2099999999999997E-2</c:v>
                </c:pt>
                <c:pt idx="46">
                  <c:v>6.7750000000000005E-2</c:v>
                </c:pt>
                <c:pt idx="47">
                  <c:v>6.9400000000000003E-2</c:v>
                </c:pt>
                <c:pt idx="48">
                  <c:v>7.3999999999999996E-2</c:v>
                </c:pt>
                <c:pt idx="49">
                  <c:v>6.8970000000000004E-2</c:v>
                </c:pt>
                <c:pt idx="50">
                  <c:v>6.608E-2</c:v>
                </c:pt>
                <c:pt idx="51">
                  <c:v>6.6250000000000003E-2</c:v>
                </c:pt>
                <c:pt idx="52">
                  <c:v>6.6710000000000005E-2</c:v>
                </c:pt>
                <c:pt idx="53">
                  <c:v>6.615E-2</c:v>
                </c:pt>
                <c:pt idx="54">
                  <c:v>6.4000000000000001E-2</c:v>
                </c:pt>
                <c:pt idx="55">
                  <c:v>5.969E-2</c:v>
                </c:pt>
                <c:pt idx="56">
                  <c:v>6.4560000000000006E-2</c:v>
                </c:pt>
                <c:pt idx="57">
                  <c:v>6.1589999999999999E-2</c:v>
                </c:pt>
                <c:pt idx="58">
                  <c:v>0.06</c:v>
                </c:pt>
                <c:pt idx="59">
                  <c:v>5.0779999999999999E-2</c:v>
                </c:pt>
                <c:pt idx="60">
                  <c:v>4.7320000000000001E-2</c:v>
                </c:pt>
                <c:pt idx="61">
                  <c:v>4.9399999999999999E-2</c:v>
                </c:pt>
                <c:pt idx="62">
                  <c:v>5.2760000000000001E-2</c:v>
                </c:pt>
                <c:pt idx="63">
                  <c:v>5.1659999999999998E-2</c:v>
                </c:pt>
                <c:pt idx="64">
                  <c:v>5.3969999999999997E-2</c:v>
                </c:pt>
                <c:pt idx="65">
                  <c:v>4.9889999999999997E-2</c:v>
                </c:pt>
                <c:pt idx="66">
                  <c:v>4.8009999999999997E-2</c:v>
                </c:pt>
                <c:pt idx="67">
                  <c:v>4.8280000000000003E-2</c:v>
                </c:pt>
                <c:pt idx="68">
                  <c:v>4.1399999999999999E-2</c:v>
                </c:pt>
                <c:pt idx="69">
                  <c:v>4.0759999999999998E-2</c:v>
                </c:pt>
                <c:pt idx="70">
                  <c:v>3.6580000000000001E-2</c:v>
                </c:pt>
                <c:pt idx="71">
                  <c:v>3.73E-2</c:v>
                </c:pt>
                <c:pt idx="72">
                  <c:v>3.3849999999999998E-2</c:v>
                </c:pt>
                <c:pt idx="73">
                  <c:v>3.7769999999999998E-2</c:v>
                </c:pt>
                <c:pt idx="74">
                  <c:v>3.5900000000000001E-2</c:v>
                </c:pt>
                <c:pt idx="75">
                  <c:v>3.5645000000000003E-2</c:v>
                </c:pt>
                <c:pt idx="76">
                  <c:v>3.5499999999999997E-2</c:v>
                </c:pt>
                <c:pt idx="77">
                  <c:v>3.6705000000000002E-2</c:v>
                </c:pt>
                <c:pt idx="78">
                  <c:v>3.9879999999999999E-2</c:v>
                </c:pt>
                <c:pt idx="79">
                  <c:v>4.2500000000000003E-2</c:v>
                </c:pt>
                <c:pt idx="80">
                  <c:v>3.8679999999999999E-2</c:v>
                </c:pt>
                <c:pt idx="81">
                  <c:v>4.2595000000000001E-2</c:v>
                </c:pt>
                <c:pt idx="82">
                  <c:v>4.3090000000000003E-2</c:v>
                </c:pt>
                <c:pt idx="83">
                  <c:v>4.5330000000000002E-2</c:v>
                </c:pt>
                <c:pt idx="84">
                  <c:v>4.5900000000000003E-2</c:v>
                </c:pt>
                <c:pt idx="85">
                  <c:v>4.6399999999999997E-2</c:v>
                </c:pt>
                <c:pt idx="86">
                  <c:v>4.333E-2</c:v>
                </c:pt>
                <c:pt idx="87">
                  <c:v>3.2599999999999997E-2</c:v>
                </c:pt>
                <c:pt idx="88">
                  <c:v>3.49E-2</c:v>
                </c:pt>
                <c:pt idx="89">
                  <c:v>3.6310000000000002E-2</c:v>
                </c:pt>
                <c:pt idx="90">
                  <c:v>3.5049999999999998E-2</c:v>
                </c:pt>
                <c:pt idx="91">
                  <c:v>3.8754999999999998E-2</c:v>
                </c:pt>
                <c:pt idx="92">
                  <c:v>3.5950000000000003E-2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7E-3E43-A7DC-66E74A7A9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2351711"/>
        <c:axId val="1410955615"/>
      </c:lineChart>
      <c:catAx>
        <c:axId val="1334379935"/>
        <c:scaling>
          <c:orientation val="minMax"/>
        </c:scaling>
        <c:delete val="0"/>
        <c:axPos val="b"/>
        <c:numFmt formatCode="[$-F800]dddd\,\ mmmm\ dd\,\ 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5984895"/>
        <c:crosses val="autoZero"/>
        <c:auto val="1"/>
        <c:lblAlgn val="ctr"/>
        <c:lblOffset val="100"/>
        <c:noMultiLvlLbl val="0"/>
      </c:catAx>
      <c:valAx>
        <c:axId val="1675984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4379935"/>
        <c:crosses val="autoZero"/>
        <c:crossBetween val="between"/>
      </c:valAx>
      <c:valAx>
        <c:axId val="1410955615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82351711"/>
        <c:crosses val="max"/>
        <c:crossBetween val="between"/>
      </c:valAx>
      <c:dateAx>
        <c:axId val="1482351711"/>
        <c:scaling>
          <c:orientation val="minMax"/>
        </c:scaling>
        <c:delete val="1"/>
        <c:axPos val="b"/>
        <c:numFmt formatCode="[$-F800]dddd\,\ mmmm\ dd\,\ yyyy" sourceLinked="1"/>
        <c:majorTickMark val="out"/>
        <c:minorTickMark val="none"/>
        <c:tickLblPos val="nextTo"/>
        <c:crossAx val="1410955615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'BaranovPI19-3_1_Лист'!$B$1</c:f>
              <c:strCache>
                <c:ptCount val="1"/>
                <c:pt idx="0">
                  <c:v>Втб ао цена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'BaranovPI19-3_1_Лист'!$B$2:$B$94</c:f>
              <c:numCache>
                <c:formatCode>0.00</c:formatCode>
                <c:ptCount val="93"/>
                <c:pt idx="0">
                  <c:v>5.3589999999999999E-2</c:v>
                </c:pt>
                <c:pt idx="1">
                  <c:v>5.5820000000000002E-2</c:v>
                </c:pt>
                <c:pt idx="2">
                  <c:v>5.5879999999999999E-2</c:v>
                </c:pt>
                <c:pt idx="3">
                  <c:v>4.9700000000000001E-2</c:v>
                </c:pt>
                <c:pt idx="4">
                  <c:v>4.929E-2</c:v>
                </c:pt>
                <c:pt idx="5">
                  <c:v>4.5999999999999999E-2</c:v>
                </c:pt>
                <c:pt idx="6">
                  <c:v>4.7010000000000003E-2</c:v>
                </c:pt>
                <c:pt idx="7">
                  <c:v>4.6609999999999999E-2</c:v>
                </c:pt>
                <c:pt idx="8">
                  <c:v>4.4499999999999998E-2</c:v>
                </c:pt>
                <c:pt idx="9">
                  <c:v>4.267E-2</c:v>
                </c:pt>
                <c:pt idx="10">
                  <c:v>4.4350000000000001E-2</c:v>
                </c:pt>
                <c:pt idx="11">
                  <c:v>4.6280000000000002E-2</c:v>
                </c:pt>
                <c:pt idx="12">
                  <c:v>4.9660000000000003E-2</c:v>
                </c:pt>
                <c:pt idx="13">
                  <c:v>4.5440000000000001E-2</c:v>
                </c:pt>
                <c:pt idx="14">
                  <c:v>4.2130000000000001E-2</c:v>
                </c:pt>
                <c:pt idx="15">
                  <c:v>3.9600000000000003E-2</c:v>
                </c:pt>
                <c:pt idx="16">
                  <c:v>3.8649999999999997E-2</c:v>
                </c:pt>
                <c:pt idx="17">
                  <c:v>4.7899999999999998E-2</c:v>
                </c:pt>
                <c:pt idx="18">
                  <c:v>4.1099999999999998E-2</c:v>
                </c:pt>
                <c:pt idx="19">
                  <c:v>3.9800000000000002E-2</c:v>
                </c:pt>
                <c:pt idx="20">
                  <c:v>3.8399999999999997E-2</c:v>
                </c:pt>
                <c:pt idx="21">
                  <c:v>3.8039999999999997E-2</c:v>
                </c:pt>
                <c:pt idx="22">
                  <c:v>3.993E-2</c:v>
                </c:pt>
                <c:pt idx="23">
                  <c:v>4.6699999999999998E-2</c:v>
                </c:pt>
                <c:pt idx="24">
                  <c:v>6.7000000000000004E-2</c:v>
                </c:pt>
                <c:pt idx="25">
                  <c:v>6.8940000000000001E-2</c:v>
                </c:pt>
                <c:pt idx="26">
                  <c:v>6.8000000000000005E-2</c:v>
                </c:pt>
                <c:pt idx="27">
                  <c:v>0.06</c:v>
                </c:pt>
                <c:pt idx="28">
                  <c:v>6.5500000000000003E-2</c:v>
                </c:pt>
                <c:pt idx="29">
                  <c:v>8.0250000000000002E-2</c:v>
                </c:pt>
                <c:pt idx="30">
                  <c:v>7.9000000000000001E-2</c:v>
                </c:pt>
                <c:pt idx="31">
                  <c:v>7.1999999999999995E-2</c:v>
                </c:pt>
                <c:pt idx="32">
                  <c:v>6.9000000000000006E-2</c:v>
                </c:pt>
                <c:pt idx="33">
                  <c:v>6.7699999999999996E-2</c:v>
                </c:pt>
                <c:pt idx="34">
                  <c:v>7.2349999999999998E-2</c:v>
                </c:pt>
                <c:pt idx="35">
                  <c:v>7.0999999999999994E-2</c:v>
                </c:pt>
                <c:pt idx="36">
                  <c:v>7.9699999999999993E-2</c:v>
                </c:pt>
                <c:pt idx="37">
                  <c:v>7.3700000000000002E-2</c:v>
                </c:pt>
                <c:pt idx="38">
                  <c:v>7.3400000000000007E-2</c:v>
                </c:pt>
                <c:pt idx="39">
                  <c:v>7.6679999999999998E-2</c:v>
                </c:pt>
                <c:pt idx="40">
                  <c:v>7.0050000000000001E-2</c:v>
                </c:pt>
                <c:pt idx="41">
                  <c:v>6.8400000000000002E-2</c:v>
                </c:pt>
                <c:pt idx="42">
                  <c:v>6.8000000000000005E-2</c:v>
                </c:pt>
                <c:pt idx="43">
                  <c:v>6.7409999999999998E-2</c:v>
                </c:pt>
                <c:pt idx="44">
                  <c:v>6.8489999999999995E-2</c:v>
                </c:pt>
                <c:pt idx="45">
                  <c:v>7.2099999999999997E-2</c:v>
                </c:pt>
                <c:pt idx="46">
                  <c:v>6.7750000000000005E-2</c:v>
                </c:pt>
                <c:pt idx="47">
                  <c:v>6.9400000000000003E-2</c:v>
                </c:pt>
                <c:pt idx="48">
                  <c:v>7.3999999999999996E-2</c:v>
                </c:pt>
                <c:pt idx="49">
                  <c:v>6.8970000000000004E-2</c:v>
                </c:pt>
                <c:pt idx="50">
                  <c:v>6.608E-2</c:v>
                </c:pt>
                <c:pt idx="51">
                  <c:v>6.6250000000000003E-2</c:v>
                </c:pt>
                <c:pt idx="52">
                  <c:v>6.6710000000000005E-2</c:v>
                </c:pt>
                <c:pt idx="53">
                  <c:v>6.615E-2</c:v>
                </c:pt>
                <c:pt idx="54">
                  <c:v>6.4000000000000001E-2</c:v>
                </c:pt>
                <c:pt idx="55">
                  <c:v>5.969E-2</c:v>
                </c:pt>
                <c:pt idx="56">
                  <c:v>6.4560000000000006E-2</c:v>
                </c:pt>
                <c:pt idx="57">
                  <c:v>6.1589999999999999E-2</c:v>
                </c:pt>
                <c:pt idx="58">
                  <c:v>0.06</c:v>
                </c:pt>
                <c:pt idx="59">
                  <c:v>5.0779999999999999E-2</c:v>
                </c:pt>
                <c:pt idx="60">
                  <c:v>4.7320000000000001E-2</c:v>
                </c:pt>
                <c:pt idx="61">
                  <c:v>4.9399999999999999E-2</c:v>
                </c:pt>
                <c:pt idx="62">
                  <c:v>5.2760000000000001E-2</c:v>
                </c:pt>
                <c:pt idx="63">
                  <c:v>5.1659999999999998E-2</c:v>
                </c:pt>
                <c:pt idx="64">
                  <c:v>5.3969999999999997E-2</c:v>
                </c:pt>
                <c:pt idx="65">
                  <c:v>4.9889999999999997E-2</c:v>
                </c:pt>
                <c:pt idx="66">
                  <c:v>4.8009999999999997E-2</c:v>
                </c:pt>
                <c:pt idx="67">
                  <c:v>4.8280000000000003E-2</c:v>
                </c:pt>
                <c:pt idx="68">
                  <c:v>4.1399999999999999E-2</c:v>
                </c:pt>
                <c:pt idx="69">
                  <c:v>4.0759999999999998E-2</c:v>
                </c:pt>
                <c:pt idx="70">
                  <c:v>3.6580000000000001E-2</c:v>
                </c:pt>
                <c:pt idx="71">
                  <c:v>3.73E-2</c:v>
                </c:pt>
                <c:pt idx="72">
                  <c:v>3.3849999999999998E-2</c:v>
                </c:pt>
                <c:pt idx="73">
                  <c:v>3.7769999999999998E-2</c:v>
                </c:pt>
                <c:pt idx="74">
                  <c:v>3.5900000000000001E-2</c:v>
                </c:pt>
                <c:pt idx="75">
                  <c:v>3.5645000000000003E-2</c:v>
                </c:pt>
                <c:pt idx="76">
                  <c:v>3.5499999999999997E-2</c:v>
                </c:pt>
                <c:pt idx="77">
                  <c:v>3.6705000000000002E-2</c:v>
                </c:pt>
                <c:pt idx="78">
                  <c:v>3.9879999999999999E-2</c:v>
                </c:pt>
                <c:pt idx="79">
                  <c:v>4.2500000000000003E-2</c:v>
                </c:pt>
                <c:pt idx="80">
                  <c:v>3.8679999999999999E-2</c:v>
                </c:pt>
                <c:pt idx="81">
                  <c:v>4.2595000000000001E-2</c:v>
                </c:pt>
                <c:pt idx="82">
                  <c:v>4.3090000000000003E-2</c:v>
                </c:pt>
                <c:pt idx="83">
                  <c:v>4.5330000000000002E-2</c:v>
                </c:pt>
                <c:pt idx="84">
                  <c:v>4.5900000000000003E-2</c:v>
                </c:pt>
                <c:pt idx="85">
                  <c:v>4.6399999999999997E-2</c:v>
                </c:pt>
                <c:pt idx="86">
                  <c:v>4.333E-2</c:v>
                </c:pt>
                <c:pt idx="87">
                  <c:v>3.2599999999999997E-2</c:v>
                </c:pt>
                <c:pt idx="88">
                  <c:v>3.49E-2</c:v>
                </c:pt>
                <c:pt idx="89">
                  <c:v>3.6310000000000002E-2</c:v>
                </c:pt>
                <c:pt idx="90">
                  <c:v>3.5049999999999998E-2</c:v>
                </c:pt>
                <c:pt idx="91">
                  <c:v>3.8754999999999998E-2</c:v>
                </c:pt>
                <c:pt idx="92">
                  <c:v>3.5950000000000003E-2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4E-8B42-911E-175298FC07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9115087"/>
        <c:axId val="1661845599"/>
      </c:scatterChart>
      <c:valAx>
        <c:axId val="151911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1845599"/>
        <c:crosses val="autoZero"/>
        <c:crossBetween val="midCat"/>
      </c:valAx>
      <c:valAx>
        <c:axId val="1661845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19115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Сбербанк</a:t>
            </a:r>
            <a:r>
              <a:rPr lang="ru-RU" baseline="0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'BaranovPI19-3_1_Лист'!$B$1</c:f>
              <c:strCache>
                <c:ptCount val="1"/>
                <c:pt idx="0">
                  <c:v>Втб ао цена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'BaranovPI19-3_1_Лист'!$G$1:$G$94</c:f>
              <c:numCache>
                <c:formatCode>0.00</c:formatCode>
                <c:ptCount val="94"/>
                <c:pt idx="0" formatCode="General">
                  <c:v>0</c:v>
                </c:pt>
                <c:pt idx="1">
                  <c:v>92.94</c:v>
                </c:pt>
                <c:pt idx="2">
                  <c:v>109.59</c:v>
                </c:pt>
                <c:pt idx="3">
                  <c:v>104.57</c:v>
                </c:pt>
                <c:pt idx="4">
                  <c:v>98.86</c:v>
                </c:pt>
                <c:pt idx="5">
                  <c:v>99.11</c:v>
                </c:pt>
                <c:pt idx="6">
                  <c:v>99.05</c:v>
                </c:pt>
                <c:pt idx="7">
                  <c:v>93.68</c:v>
                </c:pt>
                <c:pt idx="8">
                  <c:v>95.23</c:v>
                </c:pt>
                <c:pt idx="9">
                  <c:v>88.23</c:v>
                </c:pt>
                <c:pt idx="10">
                  <c:v>97.86</c:v>
                </c:pt>
                <c:pt idx="11">
                  <c:v>102.74</c:v>
                </c:pt>
                <c:pt idx="12">
                  <c:v>103.07</c:v>
                </c:pt>
                <c:pt idx="13">
                  <c:v>101.17</c:v>
                </c:pt>
                <c:pt idx="14">
                  <c:v>94.7</c:v>
                </c:pt>
                <c:pt idx="15">
                  <c:v>91.16</c:v>
                </c:pt>
                <c:pt idx="16">
                  <c:v>83.8</c:v>
                </c:pt>
                <c:pt idx="17">
                  <c:v>72.5</c:v>
                </c:pt>
                <c:pt idx="18">
                  <c:v>84.5</c:v>
                </c:pt>
                <c:pt idx="19">
                  <c:v>84.5</c:v>
                </c:pt>
                <c:pt idx="20">
                  <c:v>73.599999999999994</c:v>
                </c:pt>
                <c:pt idx="21">
                  <c:v>73.209999999999994</c:v>
                </c:pt>
                <c:pt idx="22">
                  <c:v>75.52</c:v>
                </c:pt>
                <c:pt idx="23">
                  <c:v>76.23</c:v>
                </c:pt>
                <c:pt idx="24">
                  <c:v>72.25</c:v>
                </c:pt>
                <c:pt idx="25">
                  <c:v>54.9</c:v>
                </c:pt>
                <c:pt idx="26">
                  <c:v>61.5</c:v>
                </c:pt>
                <c:pt idx="27">
                  <c:v>75.91</c:v>
                </c:pt>
                <c:pt idx="28">
                  <c:v>62.88</c:v>
                </c:pt>
                <c:pt idx="29">
                  <c:v>76.900000000000006</c:v>
                </c:pt>
                <c:pt idx="30">
                  <c:v>73.5</c:v>
                </c:pt>
                <c:pt idx="31">
                  <c:v>72.349999999999994</c:v>
                </c:pt>
                <c:pt idx="32">
                  <c:v>72.3</c:v>
                </c:pt>
                <c:pt idx="33">
                  <c:v>74.5</c:v>
                </c:pt>
                <c:pt idx="34">
                  <c:v>75.3</c:v>
                </c:pt>
                <c:pt idx="35">
                  <c:v>90.53</c:v>
                </c:pt>
                <c:pt idx="36">
                  <c:v>102.9</c:v>
                </c:pt>
                <c:pt idx="37">
                  <c:v>101.26</c:v>
                </c:pt>
                <c:pt idx="38">
                  <c:v>96.5</c:v>
                </c:pt>
                <c:pt idx="39">
                  <c:v>107</c:v>
                </c:pt>
                <c:pt idx="40">
                  <c:v>109.9</c:v>
                </c:pt>
                <c:pt idx="41">
                  <c:v>123.55</c:v>
                </c:pt>
                <c:pt idx="42">
                  <c:v>132.56</c:v>
                </c:pt>
                <c:pt idx="43">
                  <c:v>133</c:v>
                </c:pt>
                <c:pt idx="44">
                  <c:v>139.15</c:v>
                </c:pt>
                <c:pt idx="45">
                  <c:v>143.5</c:v>
                </c:pt>
                <c:pt idx="46">
                  <c:v>145.34</c:v>
                </c:pt>
                <c:pt idx="47">
                  <c:v>147.4</c:v>
                </c:pt>
                <c:pt idx="48">
                  <c:v>158.69999999999999</c:v>
                </c:pt>
                <c:pt idx="49">
                  <c:v>173.25</c:v>
                </c:pt>
                <c:pt idx="50">
                  <c:v>172.2</c:v>
                </c:pt>
                <c:pt idx="51">
                  <c:v>156</c:v>
                </c:pt>
                <c:pt idx="52">
                  <c:v>159.80000000000001</c:v>
                </c:pt>
                <c:pt idx="53">
                  <c:v>165.2</c:v>
                </c:pt>
                <c:pt idx="54">
                  <c:v>155.93</c:v>
                </c:pt>
                <c:pt idx="55">
                  <c:v>145.59</c:v>
                </c:pt>
                <c:pt idx="56">
                  <c:v>164.53</c:v>
                </c:pt>
                <c:pt idx="57">
                  <c:v>183.51</c:v>
                </c:pt>
                <c:pt idx="58">
                  <c:v>192.33</c:v>
                </c:pt>
                <c:pt idx="59">
                  <c:v>193.8</c:v>
                </c:pt>
                <c:pt idx="60">
                  <c:v>224.35</c:v>
                </c:pt>
                <c:pt idx="61">
                  <c:v>225.2</c:v>
                </c:pt>
                <c:pt idx="62">
                  <c:v>264.5</c:v>
                </c:pt>
                <c:pt idx="63">
                  <c:v>272.39999999999998</c:v>
                </c:pt>
                <c:pt idx="64">
                  <c:v>253.57</c:v>
                </c:pt>
                <c:pt idx="65">
                  <c:v>226.99</c:v>
                </c:pt>
                <c:pt idx="66">
                  <c:v>222.36</c:v>
                </c:pt>
                <c:pt idx="67">
                  <c:v>218</c:v>
                </c:pt>
                <c:pt idx="68">
                  <c:v>214.86</c:v>
                </c:pt>
                <c:pt idx="69">
                  <c:v>182</c:v>
                </c:pt>
                <c:pt idx="70">
                  <c:v>203.32</c:v>
                </c:pt>
                <c:pt idx="71">
                  <c:v>189.8</c:v>
                </c:pt>
                <c:pt idx="72">
                  <c:v>194</c:v>
                </c:pt>
                <c:pt idx="73">
                  <c:v>186.3</c:v>
                </c:pt>
                <c:pt idx="74">
                  <c:v>217.9</c:v>
                </c:pt>
                <c:pt idx="75">
                  <c:v>207.8</c:v>
                </c:pt>
                <c:pt idx="76">
                  <c:v>214.42</c:v>
                </c:pt>
                <c:pt idx="77">
                  <c:v>225.17</c:v>
                </c:pt>
                <c:pt idx="78">
                  <c:v>233.24</c:v>
                </c:pt>
                <c:pt idx="79">
                  <c:v>238.55</c:v>
                </c:pt>
                <c:pt idx="80">
                  <c:v>233.49</c:v>
                </c:pt>
                <c:pt idx="81">
                  <c:v>224.2</c:v>
                </c:pt>
                <c:pt idx="82">
                  <c:v>227.71</c:v>
                </c:pt>
                <c:pt idx="83">
                  <c:v>234.89</c:v>
                </c:pt>
                <c:pt idx="84">
                  <c:v>233.98</c:v>
                </c:pt>
                <c:pt idx="85">
                  <c:v>254.75</c:v>
                </c:pt>
                <c:pt idx="86">
                  <c:v>252.2</c:v>
                </c:pt>
                <c:pt idx="87">
                  <c:v>233.36</c:v>
                </c:pt>
                <c:pt idx="88">
                  <c:v>187.21</c:v>
                </c:pt>
                <c:pt idx="89">
                  <c:v>197.25</c:v>
                </c:pt>
                <c:pt idx="90">
                  <c:v>200.5</c:v>
                </c:pt>
                <c:pt idx="91">
                  <c:v>203.22</c:v>
                </c:pt>
                <c:pt idx="92">
                  <c:v>221.57</c:v>
                </c:pt>
                <c:pt idx="93">
                  <c:v>226.3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8A-7241-8460-D9F1CB36E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9115087"/>
        <c:axId val="1661845599"/>
      </c:scatterChart>
      <c:valAx>
        <c:axId val="151911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1845599"/>
        <c:crosses val="autoZero"/>
        <c:crossBetween val="midCat"/>
      </c:valAx>
      <c:valAx>
        <c:axId val="1661845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19115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'BaranovPI19-3_1_Лист'!$L$1</c:f>
              <c:strCache>
                <c:ptCount val="1"/>
                <c:pt idx="0">
                  <c:v>Газпром цена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'BaranovPI19-3_1_Лист'!$L$2:$L$94</c:f>
              <c:numCache>
                <c:formatCode>0.00</c:formatCode>
                <c:ptCount val="93"/>
                <c:pt idx="0">
                  <c:v>143.69999999999999</c:v>
                </c:pt>
                <c:pt idx="1">
                  <c:v>142.09</c:v>
                </c:pt>
                <c:pt idx="2">
                  <c:v>137.4</c:v>
                </c:pt>
                <c:pt idx="3">
                  <c:v>134.08000000000001</c:v>
                </c:pt>
                <c:pt idx="4">
                  <c:v>124.15</c:v>
                </c:pt>
                <c:pt idx="5">
                  <c:v>123.4</c:v>
                </c:pt>
                <c:pt idx="6">
                  <c:v>109.1</c:v>
                </c:pt>
                <c:pt idx="7">
                  <c:v>128.61000000000001</c:v>
                </c:pt>
                <c:pt idx="8">
                  <c:v>131.9</c:v>
                </c:pt>
                <c:pt idx="9">
                  <c:v>144.15</c:v>
                </c:pt>
                <c:pt idx="10">
                  <c:v>150.4</c:v>
                </c:pt>
                <c:pt idx="11">
                  <c:v>143.1</c:v>
                </c:pt>
                <c:pt idx="12">
                  <c:v>138.75</c:v>
                </c:pt>
                <c:pt idx="13">
                  <c:v>145.16</c:v>
                </c:pt>
                <c:pt idx="14">
                  <c:v>139.19999999999999</c:v>
                </c:pt>
                <c:pt idx="15">
                  <c:v>135.5</c:v>
                </c:pt>
                <c:pt idx="16">
                  <c:v>128.77000000000001</c:v>
                </c:pt>
                <c:pt idx="17">
                  <c:v>141.69999999999999</c:v>
                </c:pt>
                <c:pt idx="18">
                  <c:v>148.96</c:v>
                </c:pt>
                <c:pt idx="19">
                  <c:v>132</c:v>
                </c:pt>
                <c:pt idx="20">
                  <c:v>131.94999999999999</c:v>
                </c:pt>
                <c:pt idx="21">
                  <c:v>137.9</c:v>
                </c:pt>
                <c:pt idx="22">
                  <c:v>141.5</c:v>
                </c:pt>
                <c:pt idx="23">
                  <c:v>142.86000000000001</c:v>
                </c:pt>
                <c:pt idx="24">
                  <c:v>130.31</c:v>
                </c:pt>
                <c:pt idx="25">
                  <c:v>143.82</c:v>
                </c:pt>
                <c:pt idx="26">
                  <c:v>152.94999999999999</c:v>
                </c:pt>
                <c:pt idx="27">
                  <c:v>138.9</c:v>
                </c:pt>
                <c:pt idx="28">
                  <c:v>153.5</c:v>
                </c:pt>
                <c:pt idx="29">
                  <c:v>139</c:v>
                </c:pt>
                <c:pt idx="30">
                  <c:v>145.85</c:v>
                </c:pt>
                <c:pt idx="31">
                  <c:v>142.5</c:v>
                </c:pt>
                <c:pt idx="32">
                  <c:v>148.19</c:v>
                </c:pt>
                <c:pt idx="33">
                  <c:v>134.55000000000001</c:v>
                </c:pt>
                <c:pt idx="34">
                  <c:v>135.75</c:v>
                </c:pt>
                <c:pt idx="35">
                  <c:v>138</c:v>
                </c:pt>
                <c:pt idx="36">
                  <c:v>136.09</c:v>
                </c:pt>
                <c:pt idx="37">
                  <c:v>136.6</c:v>
                </c:pt>
                <c:pt idx="38">
                  <c:v>141.4</c:v>
                </c:pt>
                <c:pt idx="39">
                  <c:v>147.75</c:v>
                </c:pt>
                <c:pt idx="40">
                  <c:v>168.47</c:v>
                </c:pt>
                <c:pt idx="41">
                  <c:v>145.5</c:v>
                </c:pt>
                <c:pt idx="42">
                  <c:v>139.51</c:v>
                </c:pt>
                <c:pt idx="43">
                  <c:v>137.30000000000001</c:v>
                </c:pt>
                <c:pt idx="44">
                  <c:v>134.94999999999999</c:v>
                </c:pt>
                <c:pt idx="45">
                  <c:v>134.9</c:v>
                </c:pt>
                <c:pt idx="46">
                  <c:v>138.84</c:v>
                </c:pt>
                <c:pt idx="47">
                  <c:v>148.80000000000001</c:v>
                </c:pt>
                <c:pt idx="48">
                  <c:v>154.55000000000001</c:v>
                </c:pt>
                <c:pt idx="49">
                  <c:v>149.80000000000001</c:v>
                </c:pt>
                <c:pt idx="50">
                  <c:v>134</c:v>
                </c:pt>
                <c:pt idx="51">
                  <c:v>127.9</c:v>
                </c:pt>
                <c:pt idx="52">
                  <c:v>136.75</c:v>
                </c:pt>
                <c:pt idx="53">
                  <c:v>120.28</c:v>
                </c:pt>
                <c:pt idx="54">
                  <c:v>118.49</c:v>
                </c:pt>
                <c:pt idx="55">
                  <c:v>116.1</c:v>
                </c:pt>
                <c:pt idx="56">
                  <c:v>117.97</c:v>
                </c:pt>
                <c:pt idx="57">
                  <c:v>122.2</c:v>
                </c:pt>
                <c:pt idx="58">
                  <c:v>125.9</c:v>
                </c:pt>
                <c:pt idx="59">
                  <c:v>132.15</c:v>
                </c:pt>
                <c:pt idx="60">
                  <c:v>130.5</c:v>
                </c:pt>
                <c:pt idx="61">
                  <c:v>143.36000000000001</c:v>
                </c:pt>
                <c:pt idx="62">
                  <c:v>143.16</c:v>
                </c:pt>
                <c:pt idx="63">
                  <c:v>142.33000000000001</c:v>
                </c:pt>
                <c:pt idx="64">
                  <c:v>145.93</c:v>
                </c:pt>
                <c:pt idx="65">
                  <c:v>145</c:v>
                </c:pt>
                <c:pt idx="66">
                  <c:v>141.01</c:v>
                </c:pt>
                <c:pt idx="67">
                  <c:v>143.79</c:v>
                </c:pt>
                <c:pt idx="68">
                  <c:v>149.94999999999999</c:v>
                </c:pt>
                <c:pt idx="69">
                  <c:v>162.61000000000001</c:v>
                </c:pt>
                <c:pt idx="70">
                  <c:v>155.47</c:v>
                </c:pt>
                <c:pt idx="71">
                  <c:v>161.29</c:v>
                </c:pt>
                <c:pt idx="72">
                  <c:v>153.5</c:v>
                </c:pt>
                <c:pt idx="73">
                  <c:v>162.82</c:v>
                </c:pt>
                <c:pt idx="74">
                  <c:v>158.99</c:v>
                </c:pt>
                <c:pt idx="75">
                  <c:v>149.61000000000001</c:v>
                </c:pt>
                <c:pt idx="76">
                  <c:v>163.95</c:v>
                </c:pt>
                <c:pt idx="77">
                  <c:v>215.1</c:v>
                </c:pt>
                <c:pt idx="78">
                  <c:v>232.83</c:v>
                </c:pt>
                <c:pt idx="79">
                  <c:v>236.9</c:v>
                </c:pt>
                <c:pt idx="80">
                  <c:v>232.15</c:v>
                </c:pt>
                <c:pt idx="81">
                  <c:v>225.9</c:v>
                </c:pt>
                <c:pt idx="82">
                  <c:v>260</c:v>
                </c:pt>
                <c:pt idx="83">
                  <c:v>257.54000000000002</c:v>
                </c:pt>
                <c:pt idx="84">
                  <c:v>256.39999999999998</c:v>
                </c:pt>
                <c:pt idx="85">
                  <c:v>226.7</c:v>
                </c:pt>
                <c:pt idx="86">
                  <c:v>202.65</c:v>
                </c:pt>
                <c:pt idx="87">
                  <c:v>181.41</c:v>
                </c:pt>
                <c:pt idx="88">
                  <c:v>190</c:v>
                </c:pt>
                <c:pt idx="89">
                  <c:v>199.95</c:v>
                </c:pt>
                <c:pt idx="90">
                  <c:v>194.31</c:v>
                </c:pt>
                <c:pt idx="91">
                  <c:v>182.59</c:v>
                </c:pt>
                <c:pt idx="92">
                  <c:v>182.9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B3-4B4F-9F90-9A31939F01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5163375"/>
        <c:axId val="1020411135"/>
      </c:scatterChart>
      <c:valAx>
        <c:axId val="1225163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20411135"/>
        <c:crosses val="autoZero"/>
        <c:crossBetween val="midCat"/>
      </c:valAx>
      <c:valAx>
        <c:axId val="102041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25163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'BaranovPI19-3_1_Лист'!$C$1</c:f>
              <c:strCache>
                <c:ptCount val="1"/>
                <c:pt idx="0">
                  <c:v>Втб ао объем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'BaranovPI19-3_1_Лист'!$B$2:$B$94</c:f>
              <c:numCache>
                <c:formatCode>0.00</c:formatCode>
                <c:ptCount val="93"/>
                <c:pt idx="0">
                  <c:v>5.3589999999999999E-2</c:v>
                </c:pt>
                <c:pt idx="1">
                  <c:v>5.5820000000000002E-2</c:v>
                </c:pt>
                <c:pt idx="2">
                  <c:v>5.5879999999999999E-2</c:v>
                </c:pt>
                <c:pt idx="3">
                  <c:v>4.9700000000000001E-2</c:v>
                </c:pt>
                <c:pt idx="4">
                  <c:v>4.929E-2</c:v>
                </c:pt>
                <c:pt idx="5">
                  <c:v>4.5999999999999999E-2</c:v>
                </c:pt>
                <c:pt idx="6">
                  <c:v>4.7010000000000003E-2</c:v>
                </c:pt>
                <c:pt idx="7">
                  <c:v>4.6609999999999999E-2</c:v>
                </c:pt>
                <c:pt idx="8">
                  <c:v>4.4499999999999998E-2</c:v>
                </c:pt>
                <c:pt idx="9">
                  <c:v>4.267E-2</c:v>
                </c:pt>
                <c:pt idx="10">
                  <c:v>4.4350000000000001E-2</c:v>
                </c:pt>
                <c:pt idx="11">
                  <c:v>4.6280000000000002E-2</c:v>
                </c:pt>
                <c:pt idx="12">
                  <c:v>4.9660000000000003E-2</c:v>
                </c:pt>
                <c:pt idx="13">
                  <c:v>4.5440000000000001E-2</c:v>
                </c:pt>
                <c:pt idx="14">
                  <c:v>4.2130000000000001E-2</c:v>
                </c:pt>
                <c:pt idx="15">
                  <c:v>3.9600000000000003E-2</c:v>
                </c:pt>
                <c:pt idx="16">
                  <c:v>3.8649999999999997E-2</c:v>
                </c:pt>
                <c:pt idx="17">
                  <c:v>4.7899999999999998E-2</c:v>
                </c:pt>
                <c:pt idx="18">
                  <c:v>4.1099999999999998E-2</c:v>
                </c:pt>
                <c:pt idx="19">
                  <c:v>3.9800000000000002E-2</c:v>
                </c:pt>
                <c:pt idx="20">
                  <c:v>3.8399999999999997E-2</c:v>
                </c:pt>
                <c:pt idx="21">
                  <c:v>3.8039999999999997E-2</c:v>
                </c:pt>
                <c:pt idx="22">
                  <c:v>3.993E-2</c:v>
                </c:pt>
                <c:pt idx="23">
                  <c:v>4.6699999999999998E-2</c:v>
                </c:pt>
                <c:pt idx="24">
                  <c:v>6.7000000000000004E-2</c:v>
                </c:pt>
                <c:pt idx="25">
                  <c:v>6.8940000000000001E-2</c:v>
                </c:pt>
                <c:pt idx="26">
                  <c:v>6.8000000000000005E-2</c:v>
                </c:pt>
                <c:pt idx="27">
                  <c:v>0.06</c:v>
                </c:pt>
                <c:pt idx="28">
                  <c:v>6.5500000000000003E-2</c:v>
                </c:pt>
                <c:pt idx="29">
                  <c:v>8.0250000000000002E-2</c:v>
                </c:pt>
                <c:pt idx="30">
                  <c:v>7.9000000000000001E-2</c:v>
                </c:pt>
                <c:pt idx="31">
                  <c:v>7.1999999999999995E-2</c:v>
                </c:pt>
                <c:pt idx="32">
                  <c:v>6.9000000000000006E-2</c:v>
                </c:pt>
                <c:pt idx="33">
                  <c:v>6.7699999999999996E-2</c:v>
                </c:pt>
                <c:pt idx="34">
                  <c:v>7.2349999999999998E-2</c:v>
                </c:pt>
                <c:pt idx="35">
                  <c:v>7.0999999999999994E-2</c:v>
                </c:pt>
                <c:pt idx="36">
                  <c:v>7.9699999999999993E-2</c:v>
                </c:pt>
                <c:pt idx="37">
                  <c:v>7.3700000000000002E-2</c:v>
                </c:pt>
                <c:pt idx="38">
                  <c:v>7.3400000000000007E-2</c:v>
                </c:pt>
                <c:pt idx="39">
                  <c:v>7.6679999999999998E-2</c:v>
                </c:pt>
                <c:pt idx="40">
                  <c:v>7.0050000000000001E-2</c:v>
                </c:pt>
                <c:pt idx="41">
                  <c:v>6.8400000000000002E-2</c:v>
                </c:pt>
                <c:pt idx="42">
                  <c:v>6.8000000000000005E-2</c:v>
                </c:pt>
                <c:pt idx="43">
                  <c:v>6.7409999999999998E-2</c:v>
                </c:pt>
                <c:pt idx="44">
                  <c:v>6.8489999999999995E-2</c:v>
                </c:pt>
                <c:pt idx="45">
                  <c:v>7.2099999999999997E-2</c:v>
                </c:pt>
                <c:pt idx="46">
                  <c:v>6.7750000000000005E-2</c:v>
                </c:pt>
                <c:pt idx="47">
                  <c:v>6.9400000000000003E-2</c:v>
                </c:pt>
                <c:pt idx="48">
                  <c:v>7.3999999999999996E-2</c:v>
                </c:pt>
                <c:pt idx="49">
                  <c:v>6.8970000000000004E-2</c:v>
                </c:pt>
                <c:pt idx="50">
                  <c:v>6.608E-2</c:v>
                </c:pt>
                <c:pt idx="51">
                  <c:v>6.6250000000000003E-2</c:v>
                </c:pt>
                <c:pt idx="52">
                  <c:v>6.6710000000000005E-2</c:v>
                </c:pt>
                <c:pt idx="53">
                  <c:v>6.615E-2</c:v>
                </c:pt>
                <c:pt idx="54">
                  <c:v>6.4000000000000001E-2</c:v>
                </c:pt>
                <c:pt idx="55">
                  <c:v>5.969E-2</c:v>
                </c:pt>
                <c:pt idx="56">
                  <c:v>6.4560000000000006E-2</c:v>
                </c:pt>
                <c:pt idx="57">
                  <c:v>6.1589999999999999E-2</c:v>
                </c:pt>
                <c:pt idx="58">
                  <c:v>0.06</c:v>
                </c:pt>
                <c:pt idx="59">
                  <c:v>5.0779999999999999E-2</c:v>
                </c:pt>
                <c:pt idx="60">
                  <c:v>4.7320000000000001E-2</c:v>
                </c:pt>
                <c:pt idx="61">
                  <c:v>4.9399999999999999E-2</c:v>
                </c:pt>
                <c:pt idx="62">
                  <c:v>5.2760000000000001E-2</c:v>
                </c:pt>
                <c:pt idx="63">
                  <c:v>5.1659999999999998E-2</c:v>
                </c:pt>
                <c:pt idx="64">
                  <c:v>5.3969999999999997E-2</c:v>
                </c:pt>
                <c:pt idx="65">
                  <c:v>4.9889999999999997E-2</c:v>
                </c:pt>
                <c:pt idx="66">
                  <c:v>4.8009999999999997E-2</c:v>
                </c:pt>
                <c:pt idx="67">
                  <c:v>4.8280000000000003E-2</c:v>
                </c:pt>
                <c:pt idx="68">
                  <c:v>4.1399999999999999E-2</c:v>
                </c:pt>
                <c:pt idx="69">
                  <c:v>4.0759999999999998E-2</c:v>
                </c:pt>
                <c:pt idx="70">
                  <c:v>3.6580000000000001E-2</c:v>
                </c:pt>
                <c:pt idx="71">
                  <c:v>3.73E-2</c:v>
                </c:pt>
                <c:pt idx="72">
                  <c:v>3.3849999999999998E-2</c:v>
                </c:pt>
                <c:pt idx="73">
                  <c:v>3.7769999999999998E-2</c:v>
                </c:pt>
                <c:pt idx="74">
                  <c:v>3.5900000000000001E-2</c:v>
                </c:pt>
                <c:pt idx="75">
                  <c:v>3.5645000000000003E-2</c:v>
                </c:pt>
                <c:pt idx="76">
                  <c:v>3.5499999999999997E-2</c:v>
                </c:pt>
                <c:pt idx="77">
                  <c:v>3.6705000000000002E-2</c:v>
                </c:pt>
                <c:pt idx="78">
                  <c:v>3.9879999999999999E-2</c:v>
                </c:pt>
                <c:pt idx="79">
                  <c:v>4.2500000000000003E-2</c:v>
                </c:pt>
                <c:pt idx="80">
                  <c:v>3.8679999999999999E-2</c:v>
                </c:pt>
                <c:pt idx="81">
                  <c:v>4.2595000000000001E-2</c:v>
                </c:pt>
                <c:pt idx="82">
                  <c:v>4.3090000000000003E-2</c:v>
                </c:pt>
                <c:pt idx="83">
                  <c:v>4.5330000000000002E-2</c:v>
                </c:pt>
                <c:pt idx="84">
                  <c:v>4.5900000000000003E-2</c:v>
                </c:pt>
                <c:pt idx="85">
                  <c:v>4.6399999999999997E-2</c:v>
                </c:pt>
                <c:pt idx="86">
                  <c:v>4.333E-2</c:v>
                </c:pt>
                <c:pt idx="87">
                  <c:v>3.2599999999999997E-2</c:v>
                </c:pt>
                <c:pt idx="88">
                  <c:v>3.49E-2</c:v>
                </c:pt>
                <c:pt idx="89">
                  <c:v>3.6310000000000002E-2</c:v>
                </c:pt>
                <c:pt idx="90">
                  <c:v>3.5049999999999998E-2</c:v>
                </c:pt>
                <c:pt idx="91">
                  <c:v>3.8754999999999998E-2</c:v>
                </c:pt>
                <c:pt idx="92">
                  <c:v>3.5950000000000003E-2</c:v>
                </c:pt>
              </c:numCache>
            </c:numRef>
          </c:xVal>
          <c:yVal>
            <c:numRef>
              <c:f>'BaranovPI19-3_1_Лист'!$C$2:$C$94</c:f>
              <c:numCache>
                <c:formatCode>#\ ##0.00\ "₽"</c:formatCode>
                <c:ptCount val="93"/>
                <c:pt idx="0">
                  <c:v>423765060000</c:v>
                </c:pt>
                <c:pt idx="1">
                  <c:v>620659410000</c:v>
                </c:pt>
                <c:pt idx="2">
                  <c:v>956736250000</c:v>
                </c:pt>
                <c:pt idx="3">
                  <c:v>684089840000</c:v>
                </c:pt>
                <c:pt idx="4">
                  <c:v>1203587690000</c:v>
                </c:pt>
                <c:pt idx="5">
                  <c:v>909928850000</c:v>
                </c:pt>
                <c:pt idx="6">
                  <c:v>773944750000</c:v>
                </c:pt>
                <c:pt idx="7">
                  <c:v>689989310000</c:v>
                </c:pt>
                <c:pt idx="8">
                  <c:v>424102620000</c:v>
                </c:pt>
                <c:pt idx="9">
                  <c:v>770174060000</c:v>
                </c:pt>
                <c:pt idx="10">
                  <c:v>1095103330000</c:v>
                </c:pt>
                <c:pt idx="11">
                  <c:v>1117892430000</c:v>
                </c:pt>
                <c:pt idx="12">
                  <c:v>883378010000</c:v>
                </c:pt>
                <c:pt idx="13">
                  <c:v>562228330000</c:v>
                </c:pt>
                <c:pt idx="14">
                  <c:v>531533830000</c:v>
                </c:pt>
                <c:pt idx="15">
                  <c:v>1718001780000</c:v>
                </c:pt>
                <c:pt idx="16">
                  <c:v>1581562680000</c:v>
                </c:pt>
                <c:pt idx="17">
                  <c:v>1337467810000</c:v>
                </c:pt>
                <c:pt idx="18">
                  <c:v>1219984610000</c:v>
                </c:pt>
                <c:pt idx="19">
                  <c:v>1064257460000</c:v>
                </c:pt>
                <c:pt idx="20">
                  <c:v>699479420000</c:v>
                </c:pt>
                <c:pt idx="21">
                  <c:v>534436210000</c:v>
                </c:pt>
                <c:pt idx="22">
                  <c:v>552675470000</c:v>
                </c:pt>
                <c:pt idx="23">
                  <c:v>1215936210000</c:v>
                </c:pt>
                <c:pt idx="24">
                  <c:v>1901970000000</c:v>
                </c:pt>
                <c:pt idx="25">
                  <c:v>472099150000</c:v>
                </c:pt>
                <c:pt idx="26">
                  <c:v>435810560000</c:v>
                </c:pt>
                <c:pt idx="27">
                  <c:v>380858460000</c:v>
                </c:pt>
                <c:pt idx="28">
                  <c:v>670781500000</c:v>
                </c:pt>
                <c:pt idx="29">
                  <c:v>1045976670000</c:v>
                </c:pt>
                <c:pt idx="30">
                  <c:v>757627400000</c:v>
                </c:pt>
                <c:pt idx="31">
                  <c:v>355294170000</c:v>
                </c:pt>
                <c:pt idx="32">
                  <c:v>297785390000</c:v>
                </c:pt>
                <c:pt idx="33">
                  <c:v>288953870000</c:v>
                </c:pt>
                <c:pt idx="34">
                  <c:v>406369030000</c:v>
                </c:pt>
                <c:pt idx="35">
                  <c:v>293559920000</c:v>
                </c:pt>
                <c:pt idx="36">
                  <c:v>349150430000</c:v>
                </c:pt>
                <c:pt idx="37">
                  <c:v>393514230000</c:v>
                </c:pt>
                <c:pt idx="38">
                  <c:v>284381410000</c:v>
                </c:pt>
                <c:pt idx="39">
                  <c:v>303739850000</c:v>
                </c:pt>
                <c:pt idx="40">
                  <c:v>351481170000</c:v>
                </c:pt>
                <c:pt idx="41">
                  <c:v>274461660000</c:v>
                </c:pt>
                <c:pt idx="42">
                  <c:v>282574220000</c:v>
                </c:pt>
                <c:pt idx="43">
                  <c:v>152728630000</c:v>
                </c:pt>
                <c:pt idx="44">
                  <c:v>225458160000</c:v>
                </c:pt>
                <c:pt idx="45">
                  <c:v>360228510000</c:v>
                </c:pt>
                <c:pt idx="46">
                  <c:v>159481010000</c:v>
                </c:pt>
                <c:pt idx="47">
                  <c:v>234598360000</c:v>
                </c:pt>
                <c:pt idx="48">
                  <c:v>553056090000</c:v>
                </c:pt>
                <c:pt idx="49">
                  <c:v>300093660000</c:v>
                </c:pt>
                <c:pt idx="50">
                  <c:v>136916720000</c:v>
                </c:pt>
                <c:pt idx="51">
                  <c:v>266410390000</c:v>
                </c:pt>
                <c:pt idx="52">
                  <c:v>207910220000</c:v>
                </c:pt>
                <c:pt idx="53">
                  <c:v>168505230000</c:v>
                </c:pt>
                <c:pt idx="54">
                  <c:v>252186300000</c:v>
                </c:pt>
                <c:pt idx="55">
                  <c:v>179099730000</c:v>
                </c:pt>
                <c:pt idx="56">
                  <c:v>204739850000</c:v>
                </c:pt>
                <c:pt idx="57">
                  <c:v>293417410000</c:v>
                </c:pt>
                <c:pt idx="58">
                  <c:v>165599290000</c:v>
                </c:pt>
                <c:pt idx="59">
                  <c:v>433842240000</c:v>
                </c:pt>
                <c:pt idx="60">
                  <c:v>419332310000</c:v>
                </c:pt>
                <c:pt idx="61">
                  <c:v>352127560000</c:v>
                </c:pt>
                <c:pt idx="62">
                  <c:v>578729040000</c:v>
                </c:pt>
                <c:pt idx="63">
                  <c:v>530212820000</c:v>
                </c:pt>
                <c:pt idx="64">
                  <c:v>754922430000</c:v>
                </c:pt>
                <c:pt idx="65">
                  <c:v>502179250000</c:v>
                </c:pt>
                <c:pt idx="66">
                  <c:v>543856810000</c:v>
                </c:pt>
                <c:pt idx="67">
                  <c:v>299820580000</c:v>
                </c:pt>
                <c:pt idx="68">
                  <c:v>405720540000</c:v>
                </c:pt>
                <c:pt idx="69">
                  <c:v>392395190000</c:v>
                </c:pt>
                <c:pt idx="70">
                  <c:v>437464790000</c:v>
                </c:pt>
                <c:pt idx="71">
                  <c:v>459010120000</c:v>
                </c:pt>
                <c:pt idx="72">
                  <c:v>337608430000</c:v>
                </c:pt>
                <c:pt idx="73">
                  <c:v>322917130000</c:v>
                </c:pt>
                <c:pt idx="74">
                  <c:v>286689820000</c:v>
                </c:pt>
                <c:pt idx="75">
                  <c:v>300233110000</c:v>
                </c:pt>
                <c:pt idx="76">
                  <c:v>338645330000</c:v>
                </c:pt>
                <c:pt idx="77">
                  <c:v>504487530000</c:v>
                </c:pt>
                <c:pt idx="78">
                  <c:v>552706610000</c:v>
                </c:pt>
                <c:pt idx="79">
                  <c:v>878966510000</c:v>
                </c:pt>
                <c:pt idx="80">
                  <c:v>588826140000</c:v>
                </c:pt>
                <c:pt idx="81">
                  <c:v>810694080000</c:v>
                </c:pt>
                <c:pt idx="82">
                  <c:v>561078690000</c:v>
                </c:pt>
                <c:pt idx="83">
                  <c:v>790972300000</c:v>
                </c:pt>
                <c:pt idx="84">
                  <c:v>399669980000</c:v>
                </c:pt>
                <c:pt idx="85">
                  <c:v>799598550000</c:v>
                </c:pt>
                <c:pt idx="86">
                  <c:v>598942560000</c:v>
                </c:pt>
                <c:pt idx="87">
                  <c:v>1740129320000</c:v>
                </c:pt>
                <c:pt idx="88">
                  <c:v>1423841900000</c:v>
                </c:pt>
                <c:pt idx="89">
                  <c:v>553192080000</c:v>
                </c:pt>
                <c:pt idx="90">
                  <c:v>644559090000</c:v>
                </c:pt>
                <c:pt idx="91">
                  <c:v>873603110000</c:v>
                </c:pt>
                <c:pt idx="92">
                  <c:v>965851250000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D4-0F4B-8875-5FD66F9CC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4797535"/>
        <c:axId val="1516072415"/>
      </c:scatterChart>
      <c:valAx>
        <c:axId val="11047975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16072415"/>
        <c:crosses val="autoZero"/>
        <c:crossBetween val="midCat"/>
      </c:valAx>
      <c:valAx>
        <c:axId val="1516072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 &quot;₽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47975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'BaranovPI19-3_1_Лист'!$H$1</c:f>
              <c:strCache>
                <c:ptCount val="1"/>
                <c:pt idx="0">
                  <c:v>Сбербанк объем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'BaranovPI19-3_1_Лист'!$G$2:$G$94</c:f>
              <c:numCache>
                <c:formatCode>0.00</c:formatCode>
                <c:ptCount val="93"/>
                <c:pt idx="0">
                  <c:v>92.94</c:v>
                </c:pt>
                <c:pt idx="1">
                  <c:v>109.59</c:v>
                </c:pt>
                <c:pt idx="2">
                  <c:v>104.57</c:v>
                </c:pt>
                <c:pt idx="3">
                  <c:v>98.86</c:v>
                </c:pt>
                <c:pt idx="4">
                  <c:v>99.11</c:v>
                </c:pt>
                <c:pt idx="5">
                  <c:v>99.05</c:v>
                </c:pt>
                <c:pt idx="6">
                  <c:v>93.68</c:v>
                </c:pt>
                <c:pt idx="7">
                  <c:v>95.23</c:v>
                </c:pt>
                <c:pt idx="8">
                  <c:v>88.23</c:v>
                </c:pt>
                <c:pt idx="9">
                  <c:v>97.86</c:v>
                </c:pt>
                <c:pt idx="10">
                  <c:v>102.74</c:v>
                </c:pt>
                <c:pt idx="11">
                  <c:v>103.07</c:v>
                </c:pt>
                <c:pt idx="12">
                  <c:v>101.17</c:v>
                </c:pt>
                <c:pt idx="13">
                  <c:v>94.7</c:v>
                </c:pt>
                <c:pt idx="14">
                  <c:v>91.16</c:v>
                </c:pt>
                <c:pt idx="15">
                  <c:v>83.8</c:v>
                </c:pt>
                <c:pt idx="16">
                  <c:v>72.5</c:v>
                </c:pt>
                <c:pt idx="17">
                  <c:v>84.5</c:v>
                </c:pt>
                <c:pt idx="18">
                  <c:v>84.5</c:v>
                </c:pt>
                <c:pt idx="19">
                  <c:v>73.599999999999994</c:v>
                </c:pt>
                <c:pt idx="20">
                  <c:v>73.209999999999994</c:v>
                </c:pt>
                <c:pt idx="21">
                  <c:v>75.52</c:v>
                </c:pt>
                <c:pt idx="22">
                  <c:v>76.23</c:v>
                </c:pt>
                <c:pt idx="23">
                  <c:v>72.25</c:v>
                </c:pt>
                <c:pt idx="24">
                  <c:v>54.9</c:v>
                </c:pt>
                <c:pt idx="25">
                  <c:v>61.5</c:v>
                </c:pt>
                <c:pt idx="26">
                  <c:v>75.91</c:v>
                </c:pt>
                <c:pt idx="27">
                  <c:v>62.88</c:v>
                </c:pt>
                <c:pt idx="28">
                  <c:v>76.900000000000006</c:v>
                </c:pt>
                <c:pt idx="29">
                  <c:v>73.5</c:v>
                </c:pt>
                <c:pt idx="30">
                  <c:v>72.349999999999994</c:v>
                </c:pt>
                <c:pt idx="31">
                  <c:v>72.3</c:v>
                </c:pt>
                <c:pt idx="32">
                  <c:v>74.5</c:v>
                </c:pt>
                <c:pt idx="33">
                  <c:v>75.3</c:v>
                </c:pt>
                <c:pt idx="34">
                  <c:v>90.53</c:v>
                </c:pt>
                <c:pt idx="35">
                  <c:v>102.9</c:v>
                </c:pt>
                <c:pt idx="36">
                  <c:v>101.26</c:v>
                </c:pt>
                <c:pt idx="37">
                  <c:v>96.5</c:v>
                </c:pt>
                <c:pt idx="38">
                  <c:v>107</c:v>
                </c:pt>
                <c:pt idx="39">
                  <c:v>109.9</c:v>
                </c:pt>
                <c:pt idx="40">
                  <c:v>123.55</c:v>
                </c:pt>
                <c:pt idx="41">
                  <c:v>132.56</c:v>
                </c:pt>
                <c:pt idx="42">
                  <c:v>133</c:v>
                </c:pt>
                <c:pt idx="43">
                  <c:v>139.15</c:v>
                </c:pt>
                <c:pt idx="44">
                  <c:v>143.5</c:v>
                </c:pt>
                <c:pt idx="45">
                  <c:v>145.34</c:v>
                </c:pt>
                <c:pt idx="46">
                  <c:v>147.4</c:v>
                </c:pt>
                <c:pt idx="47">
                  <c:v>158.69999999999999</c:v>
                </c:pt>
                <c:pt idx="48">
                  <c:v>173.25</c:v>
                </c:pt>
                <c:pt idx="49">
                  <c:v>172.2</c:v>
                </c:pt>
                <c:pt idx="50">
                  <c:v>156</c:v>
                </c:pt>
                <c:pt idx="51">
                  <c:v>159.80000000000001</c:v>
                </c:pt>
                <c:pt idx="52">
                  <c:v>165.2</c:v>
                </c:pt>
                <c:pt idx="53">
                  <c:v>155.93</c:v>
                </c:pt>
                <c:pt idx="54">
                  <c:v>145.59</c:v>
                </c:pt>
                <c:pt idx="55">
                  <c:v>164.53</c:v>
                </c:pt>
                <c:pt idx="56">
                  <c:v>183.51</c:v>
                </c:pt>
                <c:pt idx="57">
                  <c:v>192.33</c:v>
                </c:pt>
                <c:pt idx="58">
                  <c:v>193.8</c:v>
                </c:pt>
                <c:pt idx="59">
                  <c:v>224.35</c:v>
                </c:pt>
                <c:pt idx="60">
                  <c:v>225.2</c:v>
                </c:pt>
                <c:pt idx="61">
                  <c:v>264.5</c:v>
                </c:pt>
                <c:pt idx="62">
                  <c:v>272.39999999999998</c:v>
                </c:pt>
                <c:pt idx="63">
                  <c:v>253.57</c:v>
                </c:pt>
                <c:pt idx="64">
                  <c:v>226.99</c:v>
                </c:pt>
                <c:pt idx="65">
                  <c:v>222.36</c:v>
                </c:pt>
                <c:pt idx="66">
                  <c:v>218</c:v>
                </c:pt>
                <c:pt idx="67">
                  <c:v>214.86</c:v>
                </c:pt>
                <c:pt idx="68">
                  <c:v>182</c:v>
                </c:pt>
                <c:pt idx="69">
                  <c:v>203.32</c:v>
                </c:pt>
                <c:pt idx="70">
                  <c:v>189.8</c:v>
                </c:pt>
                <c:pt idx="71">
                  <c:v>194</c:v>
                </c:pt>
                <c:pt idx="72">
                  <c:v>186.3</c:v>
                </c:pt>
                <c:pt idx="73">
                  <c:v>217.9</c:v>
                </c:pt>
                <c:pt idx="74">
                  <c:v>207.8</c:v>
                </c:pt>
                <c:pt idx="75">
                  <c:v>214.42</c:v>
                </c:pt>
                <c:pt idx="76">
                  <c:v>225.17</c:v>
                </c:pt>
                <c:pt idx="77">
                  <c:v>233.24</c:v>
                </c:pt>
                <c:pt idx="78">
                  <c:v>238.55</c:v>
                </c:pt>
                <c:pt idx="79">
                  <c:v>233.49</c:v>
                </c:pt>
                <c:pt idx="80">
                  <c:v>224.2</c:v>
                </c:pt>
                <c:pt idx="81">
                  <c:v>227.71</c:v>
                </c:pt>
                <c:pt idx="82">
                  <c:v>234.89</c:v>
                </c:pt>
                <c:pt idx="83">
                  <c:v>233.98</c:v>
                </c:pt>
                <c:pt idx="84">
                  <c:v>254.75</c:v>
                </c:pt>
                <c:pt idx="85">
                  <c:v>252.2</c:v>
                </c:pt>
                <c:pt idx="86">
                  <c:v>233.36</c:v>
                </c:pt>
                <c:pt idx="87">
                  <c:v>187.21</c:v>
                </c:pt>
                <c:pt idx="88">
                  <c:v>197.25</c:v>
                </c:pt>
                <c:pt idx="89">
                  <c:v>200.5</c:v>
                </c:pt>
                <c:pt idx="90">
                  <c:v>203.22</c:v>
                </c:pt>
                <c:pt idx="91">
                  <c:v>221.57</c:v>
                </c:pt>
                <c:pt idx="92">
                  <c:v>226.3</c:v>
                </c:pt>
              </c:numCache>
            </c:numRef>
          </c:xVal>
          <c:yVal>
            <c:numRef>
              <c:f>'BaranovPI19-3_1_Лист'!$H$2:$H$94</c:f>
              <c:numCache>
                <c:formatCode>#\ ##0.00\ "₽"</c:formatCode>
                <c:ptCount val="93"/>
                <c:pt idx="0">
                  <c:v>1191987680</c:v>
                </c:pt>
                <c:pt idx="1">
                  <c:v>1723351580</c:v>
                </c:pt>
                <c:pt idx="2">
                  <c:v>1612212000</c:v>
                </c:pt>
                <c:pt idx="3">
                  <c:v>1691490080</c:v>
                </c:pt>
                <c:pt idx="4">
                  <c:v>1576313810</c:v>
                </c:pt>
                <c:pt idx="5">
                  <c:v>1514417130</c:v>
                </c:pt>
                <c:pt idx="6">
                  <c:v>1603984540</c:v>
                </c:pt>
                <c:pt idx="7">
                  <c:v>1721040080</c:v>
                </c:pt>
                <c:pt idx="8">
                  <c:v>1414145480</c:v>
                </c:pt>
                <c:pt idx="9">
                  <c:v>1926407650</c:v>
                </c:pt>
                <c:pt idx="10">
                  <c:v>1935002670</c:v>
                </c:pt>
                <c:pt idx="11">
                  <c:v>1659044880</c:v>
                </c:pt>
                <c:pt idx="12">
                  <c:v>1563416090</c:v>
                </c:pt>
                <c:pt idx="13">
                  <c:v>1427259190</c:v>
                </c:pt>
                <c:pt idx="14">
                  <c:v>1510458530</c:v>
                </c:pt>
                <c:pt idx="15">
                  <c:v>4898591710</c:v>
                </c:pt>
                <c:pt idx="16">
                  <c:v>4013046200</c:v>
                </c:pt>
                <c:pt idx="17">
                  <c:v>3001439250</c:v>
                </c:pt>
                <c:pt idx="18">
                  <c:v>2008494660</c:v>
                </c:pt>
                <c:pt idx="19">
                  <c:v>2551370010</c:v>
                </c:pt>
                <c:pt idx="20">
                  <c:v>3076887590</c:v>
                </c:pt>
                <c:pt idx="21">
                  <c:v>2891411920</c:v>
                </c:pt>
                <c:pt idx="22">
                  <c:v>2905609940</c:v>
                </c:pt>
                <c:pt idx="23">
                  <c:v>2030051460</c:v>
                </c:pt>
                <c:pt idx="24">
                  <c:v>4337561310</c:v>
                </c:pt>
                <c:pt idx="25">
                  <c:v>2691982770</c:v>
                </c:pt>
                <c:pt idx="26">
                  <c:v>3583789870</c:v>
                </c:pt>
                <c:pt idx="27">
                  <c:v>2785656310</c:v>
                </c:pt>
                <c:pt idx="28">
                  <c:v>3217030850</c:v>
                </c:pt>
                <c:pt idx="29">
                  <c:v>1830904250</c:v>
                </c:pt>
                <c:pt idx="30">
                  <c:v>1885405260</c:v>
                </c:pt>
                <c:pt idx="31">
                  <c:v>2690621070</c:v>
                </c:pt>
                <c:pt idx="32">
                  <c:v>2488111940</c:v>
                </c:pt>
                <c:pt idx="33">
                  <c:v>2008042110</c:v>
                </c:pt>
                <c:pt idx="34">
                  <c:v>2849625200</c:v>
                </c:pt>
                <c:pt idx="35">
                  <c:v>2286927960</c:v>
                </c:pt>
                <c:pt idx="36">
                  <c:v>1880909280</c:v>
                </c:pt>
                <c:pt idx="37">
                  <c:v>2060145470</c:v>
                </c:pt>
                <c:pt idx="38">
                  <c:v>2184006710</c:v>
                </c:pt>
                <c:pt idx="39">
                  <c:v>1959737430</c:v>
                </c:pt>
                <c:pt idx="40">
                  <c:v>2125196160</c:v>
                </c:pt>
                <c:pt idx="41">
                  <c:v>1387771330</c:v>
                </c:pt>
                <c:pt idx="42">
                  <c:v>1550840130</c:v>
                </c:pt>
                <c:pt idx="43">
                  <c:v>1224653180</c:v>
                </c:pt>
                <c:pt idx="44">
                  <c:v>1150874110</c:v>
                </c:pt>
                <c:pt idx="45">
                  <c:v>1118608200</c:v>
                </c:pt>
                <c:pt idx="46">
                  <c:v>777345030</c:v>
                </c:pt>
                <c:pt idx="47">
                  <c:v>1113951960</c:v>
                </c:pt>
                <c:pt idx="48">
                  <c:v>1204467020</c:v>
                </c:pt>
                <c:pt idx="49">
                  <c:v>989614480</c:v>
                </c:pt>
                <c:pt idx="50">
                  <c:v>817013500</c:v>
                </c:pt>
                <c:pt idx="51">
                  <c:v>980688220</c:v>
                </c:pt>
                <c:pt idx="52">
                  <c:v>965518550</c:v>
                </c:pt>
                <c:pt idx="53">
                  <c:v>825457660</c:v>
                </c:pt>
                <c:pt idx="54">
                  <c:v>1249106940</c:v>
                </c:pt>
                <c:pt idx="55">
                  <c:v>1056892340</c:v>
                </c:pt>
                <c:pt idx="56">
                  <c:v>1066034430</c:v>
                </c:pt>
                <c:pt idx="57">
                  <c:v>943835730</c:v>
                </c:pt>
                <c:pt idx="58">
                  <c:v>745570010</c:v>
                </c:pt>
                <c:pt idx="59">
                  <c:v>1254395580</c:v>
                </c:pt>
                <c:pt idx="60">
                  <c:v>683304570</c:v>
                </c:pt>
                <c:pt idx="61">
                  <c:v>840068720</c:v>
                </c:pt>
                <c:pt idx="62">
                  <c:v>1032064390</c:v>
                </c:pt>
                <c:pt idx="63">
                  <c:v>993704870</c:v>
                </c:pt>
                <c:pt idx="64">
                  <c:v>2377768000</c:v>
                </c:pt>
                <c:pt idx="65">
                  <c:v>1043698830</c:v>
                </c:pt>
                <c:pt idx="66">
                  <c:v>1083180080</c:v>
                </c:pt>
                <c:pt idx="67">
                  <c:v>1232290050</c:v>
                </c:pt>
                <c:pt idx="68">
                  <c:v>1774159080</c:v>
                </c:pt>
                <c:pt idx="69">
                  <c:v>1723030800</c:v>
                </c:pt>
                <c:pt idx="70">
                  <c:v>1809539820</c:v>
                </c:pt>
                <c:pt idx="71">
                  <c:v>1567568800</c:v>
                </c:pt>
                <c:pt idx="72">
                  <c:v>1147560770</c:v>
                </c:pt>
                <c:pt idx="73">
                  <c:v>1181569160</c:v>
                </c:pt>
                <c:pt idx="74">
                  <c:v>1316335610</c:v>
                </c:pt>
                <c:pt idx="75">
                  <c:v>1071950350</c:v>
                </c:pt>
                <c:pt idx="76">
                  <c:v>1567685270</c:v>
                </c:pt>
                <c:pt idx="77">
                  <c:v>1029175370</c:v>
                </c:pt>
                <c:pt idx="78">
                  <c:v>1023004980</c:v>
                </c:pt>
                <c:pt idx="79">
                  <c:v>780046580</c:v>
                </c:pt>
                <c:pt idx="80">
                  <c:v>1024861980</c:v>
                </c:pt>
                <c:pt idx="81">
                  <c:v>796864790</c:v>
                </c:pt>
                <c:pt idx="82">
                  <c:v>894393040</c:v>
                </c:pt>
                <c:pt idx="83">
                  <c:v>643074600</c:v>
                </c:pt>
                <c:pt idx="84">
                  <c:v>666344120</c:v>
                </c:pt>
                <c:pt idx="85">
                  <c:v>747137520</c:v>
                </c:pt>
                <c:pt idx="86">
                  <c:v>919822790</c:v>
                </c:pt>
                <c:pt idx="87">
                  <c:v>3001736660</c:v>
                </c:pt>
                <c:pt idx="88">
                  <c:v>1768222700</c:v>
                </c:pt>
                <c:pt idx="89">
                  <c:v>1359045230</c:v>
                </c:pt>
                <c:pt idx="90">
                  <c:v>1522268370</c:v>
                </c:pt>
                <c:pt idx="91">
                  <c:v>1088082960</c:v>
                </c:pt>
                <c:pt idx="92">
                  <c:v>1262463920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3-5246-845A-E46D1A057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2480607"/>
        <c:axId val="1082315711"/>
      </c:scatterChart>
      <c:valAx>
        <c:axId val="1082480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82315711"/>
        <c:crosses val="autoZero"/>
        <c:crossBetween val="midCat"/>
      </c:valAx>
      <c:valAx>
        <c:axId val="1082315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 &quot;₽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824806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'BaranovPI19-3_1_Лист'!$N$1</c:f>
              <c:strCache>
                <c:ptCount val="1"/>
                <c:pt idx="0">
                  <c:v>Газпром объем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'BaranovPI19-3_1_Лист'!$L$2:$L$94</c:f>
              <c:numCache>
                <c:formatCode>0.00</c:formatCode>
                <c:ptCount val="93"/>
                <c:pt idx="0">
                  <c:v>143.69999999999999</c:v>
                </c:pt>
                <c:pt idx="1">
                  <c:v>142.09</c:v>
                </c:pt>
                <c:pt idx="2">
                  <c:v>137.4</c:v>
                </c:pt>
                <c:pt idx="3">
                  <c:v>134.08000000000001</c:v>
                </c:pt>
                <c:pt idx="4">
                  <c:v>124.15</c:v>
                </c:pt>
                <c:pt idx="5">
                  <c:v>123.4</c:v>
                </c:pt>
                <c:pt idx="6">
                  <c:v>109.1</c:v>
                </c:pt>
                <c:pt idx="7">
                  <c:v>128.61000000000001</c:v>
                </c:pt>
                <c:pt idx="8">
                  <c:v>131.9</c:v>
                </c:pt>
                <c:pt idx="9">
                  <c:v>144.15</c:v>
                </c:pt>
                <c:pt idx="10">
                  <c:v>150.4</c:v>
                </c:pt>
                <c:pt idx="11">
                  <c:v>143.1</c:v>
                </c:pt>
                <c:pt idx="12">
                  <c:v>138.75</c:v>
                </c:pt>
                <c:pt idx="13">
                  <c:v>145.16</c:v>
                </c:pt>
                <c:pt idx="14">
                  <c:v>139.19999999999999</c:v>
                </c:pt>
                <c:pt idx="15">
                  <c:v>135.5</c:v>
                </c:pt>
                <c:pt idx="16">
                  <c:v>128.77000000000001</c:v>
                </c:pt>
                <c:pt idx="17">
                  <c:v>141.69999999999999</c:v>
                </c:pt>
                <c:pt idx="18">
                  <c:v>148.96</c:v>
                </c:pt>
                <c:pt idx="19">
                  <c:v>132</c:v>
                </c:pt>
                <c:pt idx="20">
                  <c:v>131.94999999999999</c:v>
                </c:pt>
                <c:pt idx="21">
                  <c:v>137.9</c:v>
                </c:pt>
                <c:pt idx="22">
                  <c:v>141.5</c:v>
                </c:pt>
                <c:pt idx="23">
                  <c:v>142.86000000000001</c:v>
                </c:pt>
                <c:pt idx="24">
                  <c:v>130.31</c:v>
                </c:pt>
                <c:pt idx="25">
                  <c:v>143.82</c:v>
                </c:pt>
                <c:pt idx="26">
                  <c:v>152.94999999999999</c:v>
                </c:pt>
                <c:pt idx="27">
                  <c:v>138.9</c:v>
                </c:pt>
                <c:pt idx="28">
                  <c:v>153.5</c:v>
                </c:pt>
                <c:pt idx="29">
                  <c:v>139</c:v>
                </c:pt>
                <c:pt idx="30">
                  <c:v>145.85</c:v>
                </c:pt>
                <c:pt idx="31">
                  <c:v>142.5</c:v>
                </c:pt>
                <c:pt idx="32">
                  <c:v>148.19</c:v>
                </c:pt>
                <c:pt idx="33">
                  <c:v>134.55000000000001</c:v>
                </c:pt>
                <c:pt idx="34">
                  <c:v>135.75</c:v>
                </c:pt>
                <c:pt idx="35">
                  <c:v>138</c:v>
                </c:pt>
                <c:pt idx="36">
                  <c:v>136.09</c:v>
                </c:pt>
                <c:pt idx="37">
                  <c:v>136.6</c:v>
                </c:pt>
                <c:pt idx="38">
                  <c:v>141.4</c:v>
                </c:pt>
                <c:pt idx="39">
                  <c:v>147.75</c:v>
                </c:pt>
                <c:pt idx="40">
                  <c:v>168.47</c:v>
                </c:pt>
                <c:pt idx="41">
                  <c:v>145.5</c:v>
                </c:pt>
                <c:pt idx="42">
                  <c:v>139.51</c:v>
                </c:pt>
                <c:pt idx="43">
                  <c:v>137.30000000000001</c:v>
                </c:pt>
                <c:pt idx="44">
                  <c:v>134.94999999999999</c:v>
                </c:pt>
                <c:pt idx="45">
                  <c:v>134.9</c:v>
                </c:pt>
                <c:pt idx="46">
                  <c:v>138.84</c:v>
                </c:pt>
                <c:pt idx="47">
                  <c:v>148.80000000000001</c:v>
                </c:pt>
                <c:pt idx="48">
                  <c:v>154.55000000000001</c:v>
                </c:pt>
                <c:pt idx="49">
                  <c:v>149.80000000000001</c:v>
                </c:pt>
                <c:pt idx="50">
                  <c:v>134</c:v>
                </c:pt>
                <c:pt idx="51">
                  <c:v>127.9</c:v>
                </c:pt>
                <c:pt idx="52">
                  <c:v>136.75</c:v>
                </c:pt>
                <c:pt idx="53">
                  <c:v>120.28</c:v>
                </c:pt>
                <c:pt idx="54">
                  <c:v>118.49</c:v>
                </c:pt>
                <c:pt idx="55">
                  <c:v>116.1</c:v>
                </c:pt>
                <c:pt idx="56">
                  <c:v>117.97</c:v>
                </c:pt>
                <c:pt idx="57">
                  <c:v>122.2</c:v>
                </c:pt>
                <c:pt idx="58">
                  <c:v>125.9</c:v>
                </c:pt>
                <c:pt idx="59">
                  <c:v>132.15</c:v>
                </c:pt>
                <c:pt idx="60">
                  <c:v>130.5</c:v>
                </c:pt>
                <c:pt idx="61">
                  <c:v>143.36000000000001</c:v>
                </c:pt>
                <c:pt idx="62">
                  <c:v>143.16</c:v>
                </c:pt>
                <c:pt idx="63">
                  <c:v>142.33000000000001</c:v>
                </c:pt>
                <c:pt idx="64">
                  <c:v>145.93</c:v>
                </c:pt>
                <c:pt idx="65">
                  <c:v>145</c:v>
                </c:pt>
                <c:pt idx="66">
                  <c:v>141.01</c:v>
                </c:pt>
                <c:pt idx="67">
                  <c:v>143.79</c:v>
                </c:pt>
                <c:pt idx="68">
                  <c:v>149.94999999999999</c:v>
                </c:pt>
                <c:pt idx="69">
                  <c:v>162.61000000000001</c:v>
                </c:pt>
                <c:pt idx="70">
                  <c:v>155.47</c:v>
                </c:pt>
                <c:pt idx="71">
                  <c:v>161.29</c:v>
                </c:pt>
                <c:pt idx="72">
                  <c:v>153.5</c:v>
                </c:pt>
                <c:pt idx="73">
                  <c:v>162.82</c:v>
                </c:pt>
                <c:pt idx="74">
                  <c:v>158.99</c:v>
                </c:pt>
                <c:pt idx="75">
                  <c:v>149.61000000000001</c:v>
                </c:pt>
                <c:pt idx="76">
                  <c:v>163.95</c:v>
                </c:pt>
                <c:pt idx="77">
                  <c:v>215.1</c:v>
                </c:pt>
                <c:pt idx="78">
                  <c:v>232.83</c:v>
                </c:pt>
                <c:pt idx="79">
                  <c:v>236.9</c:v>
                </c:pt>
                <c:pt idx="80">
                  <c:v>232.15</c:v>
                </c:pt>
                <c:pt idx="81">
                  <c:v>225.9</c:v>
                </c:pt>
                <c:pt idx="82">
                  <c:v>260</c:v>
                </c:pt>
                <c:pt idx="83">
                  <c:v>257.54000000000002</c:v>
                </c:pt>
                <c:pt idx="84">
                  <c:v>256.39999999999998</c:v>
                </c:pt>
                <c:pt idx="85">
                  <c:v>226.7</c:v>
                </c:pt>
                <c:pt idx="86">
                  <c:v>202.65</c:v>
                </c:pt>
                <c:pt idx="87">
                  <c:v>181.41</c:v>
                </c:pt>
                <c:pt idx="88">
                  <c:v>190</c:v>
                </c:pt>
                <c:pt idx="89">
                  <c:v>199.95</c:v>
                </c:pt>
                <c:pt idx="90">
                  <c:v>194.31</c:v>
                </c:pt>
                <c:pt idx="91">
                  <c:v>182.59</c:v>
                </c:pt>
                <c:pt idx="92">
                  <c:v>182.9</c:v>
                </c:pt>
              </c:numCache>
            </c:numRef>
          </c:xVal>
          <c:yVal>
            <c:numRef>
              <c:f>'BaranovPI19-3_1_Лист'!$N$2:$N$94</c:f>
              <c:numCache>
                <c:formatCode>#\ ##0.00\ "₽"</c:formatCode>
                <c:ptCount val="93"/>
                <c:pt idx="0">
                  <c:v>638968460</c:v>
                </c:pt>
                <c:pt idx="1">
                  <c:v>495283520</c:v>
                </c:pt>
                <c:pt idx="2">
                  <c:v>733770920</c:v>
                </c:pt>
                <c:pt idx="3">
                  <c:v>953973070</c:v>
                </c:pt>
                <c:pt idx="4">
                  <c:v>986321760</c:v>
                </c:pt>
                <c:pt idx="5">
                  <c:v>813775000</c:v>
                </c:pt>
                <c:pt idx="6">
                  <c:v>769293390</c:v>
                </c:pt>
                <c:pt idx="7">
                  <c:v>879462790</c:v>
                </c:pt>
                <c:pt idx="8">
                  <c:v>635494510</c:v>
                </c:pt>
                <c:pt idx="9">
                  <c:v>1035314530</c:v>
                </c:pt>
                <c:pt idx="10">
                  <c:v>1120379070</c:v>
                </c:pt>
                <c:pt idx="11">
                  <c:v>1035969280</c:v>
                </c:pt>
                <c:pt idx="12">
                  <c:v>1050788060</c:v>
                </c:pt>
                <c:pt idx="13">
                  <c:v>1056510690</c:v>
                </c:pt>
                <c:pt idx="14">
                  <c:v>1110186930</c:v>
                </c:pt>
                <c:pt idx="15">
                  <c:v>2038314440</c:v>
                </c:pt>
                <c:pt idx="16">
                  <c:v>1377698400</c:v>
                </c:pt>
                <c:pt idx="17">
                  <c:v>1168270410</c:v>
                </c:pt>
                <c:pt idx="18">
                  <c:v>885913470</c:v>
                </c:pt>
                <c:pt idx="19">
                  <c:v>1004959980</c:v>
                </c:pt>
                <c:pt idx="20">
                  <c:v>851294800</c:v>
                </c:pt>
                <c:pt idx="21">
                  <c:v>797896850</c:v>
                </c:pt>
                <c:pt idx="22">
                  <c:v>857933800</c:v>
                </c:pt>
                <c:pt idx="23">
                  <c:v>691989260</c:v>
                </c:pt>
                <c:pt idx="24">
                  <c:v>983856510</c:v>
                </c:pt>
                <c:pt idx="25">
                  <c:v>652102830</c:v>
                </c:pt>
                <c:pt idx="26">
                  <c:v>919520350</c:v>
                </c:pt>
                <c:pt idx="27">
                  <c:v>718069290</c:v>
                </c:pt>
                <c:pt idx="28">
                  <c:v>821523460</c:v>
                </c:pt>
                <c:pt idx="29">
                  <c:v>472091480</c:v>
                </c:pt>
                <c:pt idx="30">
                  <c:v>533051950</c:v>
                </c:pt>
                <c:pt idx="31">
                  <c:v>543868920</c:v>
                </c:pt>
                <c:pt idx="32">
                  <c:v>654231910</c:v>
                </c:pt>
                <c:pt idx="33">
                  <c:v>646257900</c:v>
                </c:pt>
                <c:pt idx="34">
                  <c:v>727388150</c:v>
                </c:pt>
                <c:pt idx="35">
                  <c:v>785173850</c:v>
                </c:pt>
                <c:pt idx="36">
                  <c:v>632658380</c:v>
                </c:pt>
                <c:pt idx="37">
                  <c:v>614480400</c:v>
                </c:pt>
                <c:pt idx="38">
                  <c:v>642613120</c:v>
                </c:pt>
                <c:pt idx="39">
                  <c:v>731620780</c:v>
                </c:pt>
                <c:pt idx="40">
                  <c:v>941606540</c:v>
                </c:pt>
                <c:pt idx="41">
                  <c:v>662677050</c:v>
                </c:pt>
                <c:pt idx="42">
                  <c:v>538549300</c:v>
                </c:pt>
                <c:pt idx="43">
                  <c:v>505531930</c:v>
                </c:pt>
                <c:pt idx="44">
                  <c:v>472860350</c:v>
                </c:pt>
                <c:pt idx="45">
                  <c:v>567536440</c:v>
                </c:pt>
                <c:pt idx="46">
                  <c:v>409341480</c:v>
                </c:pt>
                <c:pt idx="47">
                  <c:v>735320710</c:v>
                </c:pt>
                <c:pt idx="48">
                  <c:v>680484920</c:v>
                </c:pt>
                <c:pt idx="49">
                  <c:v>508472070</c:v>
                </c:pt>
                <c:pt idx="50">
                  <c:v>618092220</c:v>
                </c:pt>
                <c:pt idx="51">
                  <c:v>754410290</c:v>
                </c:pt>
                <c:pt idx="52">
                  <c:v>750182400</c:v>
                </c:pt>
                <c:pt idx="53">
                  <c:v>683155600</c:v>
                </c:pt>
                <c:pt idx="54">
                  <c:v>682977210</c:v>
                </c:pt>
                <c:pt idx="55">
                  <c:v>572372360</c:v>
                </c:pt>
                <c:pt idx="56">
                  <c:v>490084870</c:v>
                </c:pt>
                <c:pt idx="57">
                  <c:v>615131840</c:v>
                </c:pt>
                <c:pt idx="58">
                  <c:v>511657140</c:v>
                </c:pt>
                <c:pt idx="59">
                  <c:v>670673200</c:v>
                </c:pt>
                <c:pt idx="60">
                  <c:v>417311690</c:v>
                </c:pt>
                <c:pt idx="61">
                  <c:v>758630450</c:v>
                </c:pt>
                <c:pt idx="62">
                  <c:v>675058310</c:v>
                </c:pt>
                <c:pt idx="63">
                  <c:v>550336390</c:v>
                </c:pt>
                <c:pt idx="64">
                  <c:v>654967610</c:v>
                </c:pt>
                <c:pt idx="65">
                  <c:v>457602320</c:v>
                </c:pt>
                <c:pt idx="66">
                  <c:v>439786830</c:v>
                </c:pt>
                <c:pt idx="67">
                  <c:v>403411200</c:v>
                </c:pt>
                <c:pt idx="68">
                  <c:v>441314630</c:v>
                </c:pt>
                <c:pt idx="69">
                  <c:v>553952660</c:v>
                </c:pt>
                <c:pt idx="70">
                  <c:v>708218240</c:v>
                </c:pt>
                <c:pt idx="71">
                  <c:v>554088010</c:v>
                </c:pt>
                <c:pt idx="72">
                  <c:v>435896450</c:v>
                </c:pt>
                <c:pt idx="73">
                  <c:v>394617870</c:v>
                </c:pt>
                <c:pt idx="74">
                  <c:v>394761860</c:v>
                </c:pt>
                <c:pt idx="75">
                  <c:v>424906810</c:v>
                </c:pt>
                <c:pt idx="76">
                  <c:v>576420680</c:v>
                </c:pt>
                <c:pt idx="77">
                  <c:v>1077221090</c:v>
                </c:pt>
                <c:pt idx="78">
                  <c:v>918359340</c:v>
                </c:pt>
                <c:pt idx="79">
                  <c:v>1185460410</c:v>
                </c:pt>
                <c:pt idx="80">
                  <c:v>715634720</c:v>
                </c:pt>
                <c:pt idx="81">
                  <c:v>514923280</c:v>
                </c:pt>
                <c:pt idx="82">
                  <c:v>763625060</c:v>
                </c:pt>
                <c:pt idx="83">
                  <c:v>1496648200</c:v>
                </c:pt>
                <c:pt idx="84">
                  <c:v>850735710</c:v>
                </c:pt>
                <c:pt idx="85">
                  <c:v>943229040</c:v>
                </c:pt>
                <c:pt idx="86">
                  <c:v>1068549530</c:v>
                </c:pt>
                <c:pt idx="87">
                  <c:v>2274256090</c:v>
                </c:pt>
                <c:pt idx="88">
                  <c:v>1151699700</c:v>
                </c:pt>
                <c:pt idx="89">
                  <c:v>1119152560</c:v>
                </c:pt>
                <c:pt idx="90">
                  <c:v>949645980</c:v>
                </c:pt>
                <c:pt idx="91">
                  <c:v>841671960</c:v>
                </c:pt>
                <c:pt idx="92">
                  <c:v>716152090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BD-8240-9F4C-DE284FB7FA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7486015"/>
        <c:axId val="1518648575"/>
      </c:scatterChart>
      <c:valAx>
        <c:axId val="15174860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18648575"/>
        <c:crosses val="autoZero"/>
        <c:crossBetween val="midCat"/>
      </c:valAx>
      <c:valAx>
        <c:axId val="1518648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 &quot;₽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174860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_xlchart.v1.25</cx:f>
      </cx:numDim>
    </cx:data>
  </cx:chartData>
  <cx:chart>
    <cx:title pos="t" align="ctr" overlay="0">
      <cx:tx>
        <cx:txData>
          <cx:v>ВТБ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ru-RU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ВТБ</a:t>
          </a:r>
        </a:p>
      </cx:txPr>
    </cx:title>
    <cx:plotArea>
      <cx:plotAreaRegion>
        <cx:series layoutId="clusteredColumn" uniqueId="{E0045B63-94DD-BB4B-8685-7E963F581BE9}">
          <cx:tx>
            <cx:txData>
              <cx:f>_xlchart.v1.24</cx:f>
              <cx:v>Втб ао цена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_xlchart.v1.23</cx:f>
      </cx:numDim>
    </cx:data>
  </cx:chartData>
  <cx:chart>
    <cx:title pos="t" align="ctr" overlay="0">
      <cx:tx>
        <cx:txData>
          <cx:v>Сбербанк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ru-RU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Сбербанк</a:t>
          </a:r>
        </a:p>
      </cx:txPr>
    </cx:title>
    <cx:plotArea>
      <cx:plotAreaRegion>
        <cx:series layoutId="clusteredColumn" uniqueId="{F97CB4D1-5164-BF4A-8EE5-73F92F3E2D77}">
          <cx:tx>
            <cx:txData>
              <cx:f>_xlchart.v1.22</cx:f>
              <cx:v>Сбербанк цена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Газпром
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ru-RU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Газпром</a:t>
          </a:r>
        </a:p>
      </cx:txPr>
    </cx:title>
    <cx:plotArea>
      <cx:plotAreaRegion>
        <cx:series layoutId="clusteredColumn" uniqueId="{6E92014B-0F01-214E-84CF-B713CD5CE2E8}">
          <cx:tx>
            <cx:txData>
              <cx:f>_xlchart.v1.0</cx:f>
              <cx:v>Газпром цена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_xlchart.v1.27</cx:f>
      </cx:numDim>
    </cx:data>
  </cx:chartData>
  <cx:chart>
    <cx:title pos="t" align="ctr" overlay="0">
      <cx:tx>
        <cx:txData>
          <cx:v>втб доходность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ru-RU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втб доходность</a:t>
          </a:r>
        </a:p>
      </cx:txPr>
    </cx:title>
    <cx:plotArea>
      <cx:plotAreaRegion>
        <cx:series layoutId="clusteredColumn" uniqueId="{FF98AF01-009D-3044-987A-721A4189281E}">
          <cx:tx>
            <cx:txData>
              <cx:f>_xlchart.v1.26</cx:f>
              <cx:v>Втб доходность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</cx:f>
      </cx:numDim>
    </cx:data>
  </cx:chartData>
  <cx:chart>
    <cx:title pos="t" align="ctr" overlay="0">
      <cx:tx>
        <cx:txData>
          <cx:v>Сбербанк доходность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ru-RU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Сбербанк доходность</a:t>
          </a:r>
        </a:p>
      </cx:txPr>
    </cx:title>
    <cx:plotArea>
      <cx:plotAreaRegion>
        <cx:series layoutId="clusteredColumn" uniqueId="{D1B39F7B-82D0-9B4F-95EA-B4984A89317B}">
          <cx:tx>
            <cx:txData>
              <cx:f>_xlchart.v1.6</cx:f>
              <cx:v>Сбербанк доходность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Газпром доходность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ru-RU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Газпром доходность</a:t>
          </a:r>
        </a:p>
      </cx:txPr>
    </cx:title>
    <cx:plotArea>
      <cx:plotAreaRegion>
        <cx:series layoutId="clusteredColumn" uniqueId="{48177518-11E7-D241-8624-B7295A4F9DFD}">
          <cx:tx>
            <cx:txData>
              <cx:f>_xlchart.v1.2</cx:f>
              <cx:v>Газпром доходность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_xlchart.v1.13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ln  </a:t>
            </a:r>
            <a:r>
              <a:rPr lang="ru-RU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втб</a:t>
            </a:r>
          </a:p>
        </cx:rich>
      </cx:tx>
    </cx:title>
    <cx:plotArea>
      <cx:plotAreaRegion>
        <cx:series layoutId="clusteredColumn" uniqueId="{510E3C55-FC59-AC4F-92BC-EFBE5447F9B1}">
          <cx:tx>
            <cx:txData>
              <cx:f>_xlchart.v1.12</cx:f>
              <cx:v>LN втб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_xlchart.v1.17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LN </a:t>
            </a:r>
            <a:r>
              <a:rPr lang="ru-RU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сбербанк</a:t>
            </a:r>
          </a:p>
        </cx:rich>
      </cx:tx>
    </cx:title>
    <cx:plotArea>
      <cx:plotAreaRegion>
        <cx:series layoutId="clusteredColumn" uniqueId="{9D065405-54CE-494E-9BD5-8300CC5D124A}">
          <cx:tx>
            <cx:txData>
              <cx:f>_xlchart.v1.16</cx:f>
              <cx:v>LN Сбербанк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_xlchart.v1.15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ln </a:t>
            </a:r>
            <a:r>
              <a:rPr lang="ru-RU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газпром</a:t>
            </a:r>
          </a:p>
        </cx:rich>
      </cx:tx>
    </cx:title>
    <cx:plotArea>
      <cx:plotAreaRegion>
        <cx:series layoutId="clusteredColumn" uniqueId="{A0AAB879-DD07-3F46-90E5-CFBC10BB75DA}">
          <cx:tx>
            <cx:txData>
              <cx:f>_xlchart.v1.14</cx:f>
              <cx:v>LN Газпром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microsoft.com/office/2014/relationships/chartEx" Target="../charts/chartEx5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microsoft.com/office/2014/relationships/chartEx" Target="../charts/chartEx4.xml"/><Relationship Id="rId17" Type="http://schemas.microsoft.com/office/2014/relationships/chartEx" Target="../charts/chartEx9.xml"/><Relationship Id="rId2" Type="http://schemas.openxmlformats.org/officeDocument/2006/relationships/chart" Target="../charts/chart2.xml"/><Relationship Id="rId16" Type="http://schemas.microsoft.com/office/2014/relationships/chartEx" Target="../charts/chartEx8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microsoft.com/office/2014/relationships/chartEx" Target="../charts/chartEx3.xml"/><Relationship Id="rId5" Type="http://schemas.openxmlformats.org/officeDocument/2006/relationships/chart" Target="../charts/chart5.xml"/><Relationship Id="rId15" Type="http://schemas.microsoft.com/office/2014/relationships/chartEx" Target="../charts/chartEx7.xml"/><Relationship Id="rId10" Type="http://schemas.microsoft.com/office/2014/relationships/chartEx" Target="../charts/chartEx2.xml"/><Relationship Id="rId4" Type="http://schemas.openxmlformats.org/officeDocument/2006/relationships/chart" Target="../charts/chart4.xml"/><Relationship Id="rId9" Type="http://schemas.microsoft.com/office/2014/relationships/chartEx" Target="../charts/chartEx1.xml"/><Relationship Id="rId14" Type="http://schemas.microsoft.com/office/2014/relationships/chartEx" Target="../charts/chartEx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291851</xdr:colOff>
      <xdr:row>1</xdr:row>
      <xdr:rowOff>170329</xdr:rowOff>
    </xdr:from>
    <xdr:to>
      <xdr:col>22</xdr:col>
      <xdr:colOff>639483</xdr:colOff>
      <xdr:row>15</xdr:row>
      <xdr:rowOff>62752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27ABED00-FBD3-A340-B28A-02730A6AC3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252506</xdr:colOff>
      <xdr:row>16</xdr:row>
      <xdr:rowOff>42582</xdr:rowOff>
    </xdr:from>
    <xdr:to>
      <xdr:col>22</xdr:col>
      <xdr:colOff>617071</xdr:colOff>
      <xdr:row>29</xdr:row>
      <xdr:rowOff>144182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2B7271B7-A3D4-5A4C-BEA2-74D3019127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213241</xdr:colOff>
      <xdr:row>30</xdr:row>
      <xdr:rowOff>198102</xdr:rowOff>
    </xdr:from>
    <xdr:to>
      <xdr:col>24</xdr:col>
      <xdr:colOff>9781</xdr:colOff>
      <xdr:row>46</xdr:row>
      <xdr:rowOff>49452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C8348459-572E-804D-8A6F-C6791F893A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123902</xdr:colOff>
      <xdr:row>30</xdr:row>
      <xdr:rowOff>185854</xdr:rowOff>
    </xdr:from>
    <xdr:to>
      <xdr:col>30</xdr:col>
      <xdr:colOff>756783</xdr:colOff>
      <xdr:row>46</xdr:row>
      <xdr:rowOff>37204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DF3AEFA9-CE7B-F444-87B1-499F67F273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307974</xdr:colOff>
      <xdr:row>31</xdr:row>
      <xdr:rowOff>182562</xdr:rowOff>
    </xdr:from>
    <xdr:to>
      <xdr:col>36</xdr:col>
      <xdr:colOff>760412</xdr:colOff>
      <xdr:row>45</xdr:row>
      <xdr:rowOff>85724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40940643-5889-9442-B46B-9C2A10EBA6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698500</xdr:colOff>
      <xdr:row>49</xdr:row>
      <xdr:rowOff>38100</xdr:rowOff>
    </xdr:from>
    <xdr:to>
      <xdr:col>23</xdr:col>
      <xdr:colOff>241300</xdr:colOff>
      <xdr:row>62</xdr:row>
      <xdr:rowOff>139700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FE4D8945-2695-3F4A-8928-8444276A5E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774700</xdr:colOff>
      <xdr:row>49</xdr:row>
      <xdr:rowOff>12700</xdr:rowOff>
    </xdr:from>
    <xdr:to>
      <xdr:col>29</xdr:col>
      <xdr:colOff>317500</xdr:colOff>
      <xdr:row>62</xdr:row>
      <xdr:rowOff>114300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1ABCA35E-D75F-1C48-8084-5F78DF0FCB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215900</xdr:colOff>
      <xdr:row>49</xdr:row>
      <xdr:rowOff>12700</xdr:rowOff>
    </xdr:from>
    <xdr:to>
      <xdr:col>35</xdr:col>
      <xdr:colOff>596900</xdr:colOff>
      <xdr:row>62</xdr:row>
      <xdr:rowOff>114300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96CC0DCD-82E1-6E4C-B1C0-442008EF74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</xdr:col>
      <xdr:colOff>63500</xdr:colOff>
      <xdr:row>66</xdr:row>
      <xdr:rowOff>139700</xdr:rowOff>
    </xdr:from>
    <xdr:to>
      <xdr:col>23</xdr:col>
      <xdr:colOff>444500</xdr:colOff>
      <xdr:row>80</xdr:row>
      <xdr:rowOff>38100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3" name="Диаграмма 12">
              <a:extLst>
                <a:ext uri="{FF2B5EF4-FFF2-40B4-BE49-F238E27FC236}">
                  <a16:creationId xmlns:a16="http://schemas.microsoft.com/office/drawing/2014/main" id="{2EC06EDF-E619-3046-9E7E-4EE3EA49D71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930100" y="135509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  <xdr:twoCellAnchor>
    <xdr:from>
      <xdr:col>24</xdr:col>
      <xdr:colOff>88900</xdr:colOff>
      <xdr:row>66</xdr:row>
      <xdr:rowOff>63500</xdr:rowOff>
    </xdr:from>
    <xdr:to>
      <xdr:col>29</xdr:col>
      <xdr:colOff>469900</xdr:colOff>
      <xdr:row>79</xdr:row>
      <xdr:rowOff>165100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4" name="Диаграмма 13">
              <a:extLst>
                <a:ext uri="{FF2B5EF4-FFF2-40B4-BE49-F238E27FC236}">
                  <a16:creationId xmlns:a16="http://schemas.microsoft.com/office/drawing/2014/main" id="{9B81802B-1B25-FF4F-82C8-315610AC41E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0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984700" y="134747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  <xdr:twoCellAnchor>
    <xdr:from>
      <xdr:col>30</xdr:col>
      <xdr:colOff>63500</xdr:colOff>
      <xdr:row>66</xdr:row>
      <xdr:rowOff>12700</xdr:rowOff>
    </xdr:from>
    <xdr:to>
      <xdr:col>35</xdr:col>
      <xdr:colOff>444500</xdr:colOff>
      <xdr:row>79</xdr:row>
      <xdr:rowOff>114300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5" name="Диаграмма 14">
              <a:extLst>
                <a:ext uri="{FF2B5EF4-FFF2-40B4-BE49-F238E27FC236}">
                  <a16:creationId xmlns:a16="http://schemas.microsoft.com/office/drawing/2014/main" id="{5865808D-DEC6-AF46-9C13-9B96E0039EF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988500" y="134239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  <xdr:twoCellAnchor>
    <xdr:from>
      <xdr:col>18</xdr:col>
      <xdr:colOff>38100</xdr:colOff>
      <xdr:row>81</xdr:row>
      <xdr:rowOff>139700</xdr:rowOff>
    </xdr:from>
    <xdr:to>
      <xdr:col>23</xdr:col>
      <xdr:colOff>419100</xdr:colOff>
      <xdr:row>95</xdr:row>
      <xdr:rowOff>38100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6" name="Диаграмма 15">
              <a:extLst>
                <a:ext uri="{FF2B5EF4-FFF2-40B4-BE49-F238E27FC236}">
                  <a16:creationId xmlns:a16="http://schemas.microsoft.com/office/drawing/2014/main" id="{BCA40B4B-440D-324F-857B-FA1783EDF63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904700" y="165989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  <xdr:twoCellAnchor>
    <xdr:from>
      <xdr:col>23</xdr:col>
      <xdr:colOff>825500</xdr:colOff>
      <xdr:row>81</xdr:row>
      <xdr:rowOff>165100</xdr:rowOff>
    </xdr:from>
    <xdr:to>
      <xdr:col>29</xdr:col>
      <xdr:colOff>368300</xdr:colOff>
      <xdr:row>95</xdr:row>
      <xdr:rowOff>63500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7" name="Диаграмма 16">
              <a:extLst>
                <a:ext uri="{FF2B5EF4-FFF2-40B4-BE49-F238E27FC236}">
                  <a16:creationId xmlns:a16="http://schemas.microsoft.com/office/drawing/2014/main" id="{8F1912EC-6CA3-F149-A6E4-FDD79DFAE94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883100" y="166243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  <xdr:twoCellAnchor>
    <xdr:from>
      <xdr:col>29</xdr:col>
      <xdr:colOff>800100</xdr:colOff>
      <xdr:row>81</xdr:row>
      <xdr:rowOff>190500</xdr:rowOff>
    </xdr:from>
    <xdr:to>
      <xdr:col>35</xdr:col>
      <xdr:colOff>342900</xdr:colOff>
      <xdr:row>95</xdr:row>
      <xdr:rowOff>88900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8" name="Диаграмма 17">
              <a:extLst>
                <a:ext uri="{FF2B5EF4-FFF2-40B4-BE49-F238E27FC236}">
                  <a16:creationId xmlns:a16="http://schemas.microsoft.com/office/drawing/2014/main" id="{4C363F8E-1DC7-8F44-8BDA-505767C058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886900" y="166497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  <xdr:twoCellAnchor>
    <xdr:from>
      <xdr:col>18</xdr:col>
      <xdr:colOff>203200</xdr:colOff>
      <xdr:row>98</xdr:row>
      <xdr:rowOff>12700</xdr:rowOff>
    </xdr:from>
    <xdr:to>
      <xdr:col>23</xdr:col>
      <xdr:colOff>584200</xdr:colOff>
      <xdr:row>111</xdr:row>
      <xdr:rowOff>114300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9" name="Диаграмма 18">
              <a:extLst>
                <a:ext uri="{FF2B5EF4-FFF2-40B4-BE49-F238E27FC236}">
                  <a16:creationId xmlns:a16="http://schemas.microsoft.com/office/drawing/2014/main" id="{2CEDBE2C-7542-2748-AAFE-915D73B5677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069800" y="199263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  <xdr:twoCellAnchor>
    <xdr:from>
      <xdr:col>23</xdr:col>
      <xdr:colOff>774700</xdr:colOff>
      <xdr:row>98</xdr:row>
      <xdr:rowOff>12700</xdr:rowOff>
    </xdr:from>
    <xdr:to>
      <xdr:col>29</xdr:col>
      <xdr:colOff>317500</xdr:colOff>
      <xdr:row>111</xdr:row>
      <xdr:rowOff>114300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0" name="Диаграмма 19">
              <a:extLst>
                <a:ext uri="{FF2B5EF4-FFF2-40B4-BE49-F238E27FC236}">
                  <a16:creationId xmlns:a16="http://schemas.microsoft.com/office/drawing/2014/main" id="{2E63BC18-94E1-7E49-8805-749E2BD3B08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832300" y="199263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  <xdr:twoCellAnchor>
    <xdr:from>
      <xdr:col>29</xdr:col>
      <xdr:colOff>622300</xdr:colOff>
      <xdr:row>98</xdr:row>
      <xdr:rowOff>12700</xdr:rowOff>
    </xdr:from>
    <xdr:to>
      <xdr:col>35</xdr:col>
      <xdr:colOff>165100</xdr:colOff>
      <xdr:row>111</xdr:row>
      <xdr:rowOff>114300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1" name="Диаграмма 20">
              <a:extLst>
                <a:ext uri="{FF2B5EF4-FFF2-40B4-BE49-F238E27FC236}">
                  <a16:creationId xmlns:a16="http://schemas.microsoft.com/office/drawing/2014/main" id="{B1652CF5-7E3D-C141-B78E-DF050BEBB9F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709100" y="199263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Таблица1" displayName="Таблица1" ref="A1:D94" totalsRowShown="0">
  <autoFilter ref="A1:D94" xr:uid="{00000000-0009-0000-0100-000001000000}"/>
  <tableColumns count="4">
    <tableColumn id="3" xr3:uid="{00000000-0010-0000-0000-000003000000}" name="Дата" dataDxfId="18"/>
    <tableColumn id="5" xr3:uid="{00000000-0010-0000-0000-000005000000}" name="Втб ао цена" dataDxfId="17"/>
    <tableColumn id="6" xr3:uid="{00000000-0010-0000-0000-000006000000}" name="Втб ао объем" dataDxfId="16"/>
    <tableColumn id="9" xr3:uid="{00000000-0010-0000-0000-000009000000}" name="Втб ао цена 1000" dataDxfId="15">
      <calculatedColumnFormula>Таблица1[[#This Row],[Втб ао цена]]*1000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Таблица3" displayName="Таблица3" ref="E1:F95" totalsRowShown="0" headerRowDxfId="6" dataDxfId="5">
  <autoFilter ref="E1:F95" xr:uid="{00000000-0009-0000-0100-000003000000}"/>
  <tableColumns count="2">
    <tableColumn id="1" xr3:uid="{00000000-0010-0000-0100-000001000000}" name="Втб доходность" dataDxfId="4">
      <calculatedColumnFormula>(Таблица1[[#This Row],[Втб ао цена]]-B1)/B1</calculatedColumnFormula>
    </tableColumn>
    <tableColumn id="2" xr3:uid="{00000000-0010-0000-0100-000002000000}" name="LN втб" dataDxfId="3">
      <calculatedColumnFormula>LN(Таблица1[[#This Row],[Втб ао объем]])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Таблица4" displayName="Таблица4" ref="G1:P94" totalsRowShown="0" tableBorderDxfId="14">
  <autoFilter ref="G1:P94" xr:uid="{00000000-0009-0000-0100-000004000000}"/>
  <tableColumns count="10">
    <tableColumn id="7" xr3:uid="{00000000-0010-0000-0200-000007000000}" name="Сбербанк цена" dataDxfId="13"/>
    <tableColumn id="8" xr3:uid="{00000000-0010-0000-0200-000008000000}" name="Сбербанк объем" dataDxfId="12"/>
    <tableColumn id="2" xr3:uid="{68688771-DCC4-9C4E-80DE-D33494C2F41F}" name="Сбербанк цена 1000" dataDxfId="11">
      <calculatedColumnFormula>Таблица4[[#This Row],[Сбербанк цена]]*1000</calculatedColumnFormula>
    </tableColumn>
    <tableColumn id="9" xr3:uid="{00000000-0010-0000-0200-000009000000}" name="Сбербанк доходность" dataDxfId="10">
      <calculatedColumnFormula>(Таблица4[[#This Row],[Сбербанк цена]]-G1)/G1</calculatedColumnFormula>
    </tableColumn>
    <tableColumn id="3" xr3:uid="{8B23AC14-DBE2-254D-8133-8A16D50ACA5B}" name="LN Сбербанк" dataDxfId="8">
      <calculatedColumnFormula>LN(Таблица4[[#This Row],[Сбербанк объем]])</calculatedColumnFormula>
    </tableColumn>
    <tableColumn id="11" xr3:uid="{00000000-0010-0000-0200-00000B000000}" name="Газпром цена" dataDxfId="9"/>
    <tableColumn id="4" xr3:uid="{49DB596F-141C-E444-92B4-4D01EF03F25B}" name="Газпром цена 1000" dataDxfId="7">
      <calculatedColumnFormula>Таблица4[[#This Row],[Газпром цена]]*1000</calculatedColumnFormula>
    </tableColumn>
    <tableColumn id="12" xr3:uid="{00000000-0010-0000-0200-00000C000000}" name="Газпром объем" dataDxfId="2"/>
    <tableColumn id="10" xr3:uid="{E34C0205-26BF-F14F-8ED5-32B29FDA6F06}" name="LN Газпром" dataDxfId="0">
      <calculatedColumnFormula>LN(Таблица4[[#This Row],[Газпром объем]])</calculatedColumnFormula>
    </tableColumn>
    <tableColumn id="13" xr3:uid="{00000000-0010-0000-0200-00000D000000}" name="Газпром доходность" dataDxfId="1">
      <calculatedColumnFormula>(Таблица4[[#This Row],[Газпром цена]]-L1)/L1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94"/>
  <sheetViews>
    <sheetView tabSelected="1" topLeftCell="I50" zoomScale="50" workbookViewId="0">
      <selection activeCell="M107" sqref="M107"/>
    </sheetView>
  </sheetViews>
  <sheetFormatPr baseColWidth="10" defaultRowHeight="16" x14ac:dyDescent="0.2"/>
  <cols>
    <col min="1" max="1" width="28.83203125" style="1" customWidth="1"/>
    <col min="2" max="2" width="10.83203125" style="3"/>
    <col min="3" max="3" width="23" style="2" customWidth="1"/>
    <col min="4" max="4" width="20.33203125" style="2" customWidth="1"/>
    <col min="5" max="5" width="20.33203125" style="4" customWidth="1"/>
    <col min="6" max="6" width="20.33203125" style="5" customWidth="1"/>
    <col min="7" max="7" width="14.1640625" customWidth="1"/>
    <col min="8" max="9" width="21" customWidth="1"/>
    <col min="10" max="10" width="17.33203125" style="4" customWidth="1"/>
    <col min="11" max="11" width="11.5" style="3" customWidth="1"/>
    <col min="12" max="13" width="21.1640625" customWidth="1"/>
    <col min="14" max="14" width="20.6640625" style="4" customWidth="1"/>
    <col min="15" max="15" width="15.5" style="3" customWidth="1"/>
    <col min="16" max="16" width="16" customWidth="1"/>
  </cols>
  <sheetData>
    <row r="1" spans="1:16" x14ac:dyDescent="0.2">
      <c r="A1" s="1" t="s">
        <v>0</v>
      </c>
      <c r="B1" s="3" t="s">
        <v>1</v>
      </c>
      <c r="C1" s="2" t="s">
        <v>2</v>
      </c>
      <c r="D1" s="2" t="s">
        <v>9</v>
      </c>
      <c r="E1" s="4" t="s">
        <v>6</v>
      </c>
      <c r="F1" s="5" t="s">
        <v>7</v>
      </c>
      <c r="G1" t="s">
        <v>5</v>
      </c>
      <c r="H1" t="s">
        <v>8</v>
      </c>
      <c r="I1" t="s">
        <v>11</v>
      </c>
      <c r="J1" s="4" t="s">
        <v>10</v>
      </c>
      <c r="K1" s="3" t="s">
        <v>12</v>
      </c>
      <c r="L1" t="s">
        <v>4</v>
      </c>
      <c r="M1" t="s">
        <v>13</v>
      </c>
      <c r="N1" t="s">
        <v>3</v>
      </c>
      <c r="O1" s="3" t="s">
        <v>15</v>
      </c>
      <c r="P1" s="4" t="s">
        <v>14</v>
      </c>
    </row>
    <row r="2" spans="1:16" x14ac:dyDescent="0.2">
      <c r="A2" s="1">
        <v>41244</v>
      </c>
      <c r="B2" s="3">
        <v>5.3589999999999999E-2</v>
      </c>
      <c r="C2" s="2">
        <v>423765060000</v>
      </c>
      <c r="D2" s="2">
        <f>Таблица1[[#This Row],[Втб ао цена]]*1000</f>
        <v>53.589999999999996</v>
      </c>
      <c r="F2" s="3">
        <f>LN(Таблица1[[#This Row],[Втб ао объем]])</f>
        <v>26.772445034832554</v>
      </c>
      <c r="G2" s="3">
        <v>92.94</v>
      </c>
      <c r="H2" s="2">
        <v>1191987680</v>
      </c>
      <c r="I2" s="2">
        <f>Таблица4[[#This Row],[Сбербанк цена]]*1000</f>
        <v>92940</v>
      </c>
      <c r="K2" s="3">
        <f>LN(Таблица4[[#This Row],[Сбербанк объем]])</f>
        <v>20.898888069965686</v>
      </c>
      <c r="L2" s="3">
        <v>143.69999999999999</v>
      </c>
      <c r="M2" s="3">
        <f>Таблица4[[#This Row],[Газпром цена]]*1000</f>
        <v>143700</v>
      </c>
      <c r="N2" s="2">
        <v>638968460</v>
      </c>
      <c r="O2" s="3">
        <f>LN(Таблица4[[#This Row],[Газпром объем]])</f>
        <v>20.275365652751187</v>
      </c>
      <c r="P2" s="4"/>
    </row>
    <row r="3" spans="1:16" x14ac:dyDescent="0.2">
      <c r="A3" s="1">
        <v>41275</v>
      </c>
      <c r="B3" s="3">
        <v>5.5820000000000002E-2</v>
      </c>
      <c r="C3" s="2">
        <v>620659410000</v>
      </c>
      <c r="D3" s="2">
        <f>Таблица1[[#This Row],[Втб ао цена]]*1000</f>
        <v>55.82</v>
      </c>
      <c r="E3" s="4">
        <f>(Таблица1[[#This Row],[Втб ао цена]]-B2)/B2</f>
        <v>4.1612241089755607E-2</v>
      </c>
      <c r="F3" s="3">
        <f>LN(Таблица1[[#This Row],[Втб ао объем]])</f>
        <v>27.154048314317642</v>
      </c>
      <c r="G3" s="3">
        <v>109.59</v>
      </c>
      <c r="H3" s="2">
        <v>1723351580</v>
      </c>
      <c r="I3" s="2">
        <f>Таблица4[[#This Row],[Сбербанк цена]]*1000</f>
        <v>109590</v>
      </c>
      <c r="J3" s="4">
        <f>(Таблица4[[#This Row],[Сбербанк цена]]-G2)/G2</f>
        <v>0.17914783731439646</v>
      </c>
      <c r="K3" s="3">
        <f>LN(Таблица4[[#This Row],[Сбербанк объем]])</f>
        <v>21.267536824750323</v>
      </c>
      <c r="L3" s="3">
        <v>142.09</v>
      </c>
      <c r="M3" s="3">
        <f>Таблица4[[#This Row],[Газпром цена]]*1000</f>
        <v>142090</v>
      </c>
      <c r="N3" s="2">
        <v>495283520</v>
      </c>
      <c r="O3" s="3">
        <f>LN(Таблица4[[#This Row],[Газпром объем]])</f>
        <v>20.020640924240933</v>
      </c>
      <c r="P3" s="4">
        <f>(Таблица4[[#This Row],[Газпром цена]]-L2)/L2</f>
        <v>-1.1203897007654735E-2</v>
      </c>
    </row>
    <row r="4" spans="1:16" x14ac:dyDescent="0.2">
      <c r="A4" s="1">
        <v>41306</v>
      </c>
      <c r="B4" s="3">
        <v>5.5879999999999999E-2</v>
      </c>
      <c r="C4" s="2">
        <v>956736250000</v>
      </c>
      <c r="D4" s="2">
        <f>Таблица1[[#This Row],[Втб ао цена]]*1000</f>
        <v>55.88</v>
      </c>
      <c r="E4" s="4">
        <f>(Таблица1[[#This Row],[Втб ао цена]]-B3)/B3</f>
        <v>1.0748835542815757E-3</v>
      </c>
      <c r="F4" s="3">
        <f>LN(Таблица1[[#This Row],[Втб ао объем]])</f>
        <v>27.58679358957853</v>
      </c>
      <c r="G4" s="3">
        <v>104.57</v>
      </c>
      <c r="H4" s="2">
        <v>1612212000</v>
      </c>
      <c r="I4" s="2">
        <f>Таблица4[[#This Row],[Сбербанк цена]]*1000</f>
        <v>104570</v>
      </c>
      <c r="J4" s="4">
        <f>(Таблица4[[#This Row],[Сбербанк цена]]-G3)/G3</f>
        <v>-4.58070991878822E-2</v>
      </c>
      <c r="K4" s="3">
        <f>LN(Таблица4[[#This Row],[Сбербанк объем]])</f>
        <v>21.200872986031328</v>
      </c>
      <c r="L4" s="3">
        <v>137.4</v>
      </c>
      <c r="M4" s="3">
        <f>Таблица4[[#This Row],[Газпром цена]]*1000</f>
        <v>137400</v>
      </c>
      <c r="N4" s="2">
        <v>733770920</v>
      </c>
      <c r="O4" s="3">
        <f>LN(Таблица4[[#This Row],[Газпром объем]])</f>
        <v>20.4137074397734</v>
      </c>
      <c r="P4" s="4">
        <f>(Таблица4[[#This Row],[Газпром цена]]-L3)/L3</f>
        <v>-3.3007248926736558E-2</v>
      </c>
    </row>
    <row r="5" spans="1:16" x14ac:dyDescent="0.2">
      <c r="A5" s="1">
        <v>41334</v>
      </c>
      <c r="B5" s="3">
        <v>4.9700000000000001E-2</v>
      </c>
      <c r="C5" s="2">
        <v>684089840000</v>
      </c>
      <c r="D5" s="2">
        <f>Таблица1[[#This Row],[Втб ао цена]]*1000</f>
        <v>49.7</v>
      </c>
      <c r="E5" s="4">
        <f>(Таблица1[[#This Row],[Втб ао цена]]-B4)/B4</f>
        <v>-0.11059413027916962</v>
      </c>
      <c r="F5" s="3">
        <f>LN(Таблица1[[#This Row],[Втб ао объем]])</f>
        <v>27.251355090973199</v>
      </c>
      <c r="G5" s="3">
        <v>98.86</v>
      </c>
      <c r="H5" s="2">
        <v>1691490080</v>
      </c>
      <c r="I5" s="2">
        <f>Таблица4[[#This Row],[Сбербанк цена]]*1000</f>
        <v>98860</v>
      </c>
      <c r="J5" s="4">
        <f>(Таблица4[[#This Row],[Сбербанк цена]]-G4)/G4</f>
        <v>-5.4604571100698038E-2</v>
      </c>
      <c r="K5" s="3">
        <f>LN(Таблица4[[#This Row],[Сбербанк объем]])</f>
        <v>21.248875681550636</v>
      </c>
      <c r="L5" s="3">
        <v>134.08000000000001</v>
      </c>
      <c r="M5" s="3">
        <f>Таблица4[[#This Row],[Газпром цена]]*1000</f>
        <v>134080</v>
      </c>
      <c r="N5" s="2">
        <v>953973070</v>
      </c>
      <c r="O5" s="3">
        <f>LN(Таблица4[[#This Row],[Газпром объем]])</f>
        <v>20.676146000502598</v>
      </c>
      <c r="P5" s="4">
        <f>(Таблица4[[#This Row],[Газпром цена]]-L4)/L4</f>
        <v>-2.4163027656477386E-2</v>
      </c>
    </row>
    <row r="6" spans="1:16" x14ac:dyDescent="0.2">
      <c r="A6" s="1">
        <v>41365</v>
      </c>
      <c r="B6" s="3">
        <v>4.929E-2</v>
      </c>
      <c r="C6" s="2">
        <v>1203587690000</v>
      </c>
      <c r="D6" s="2">
        <f>Таблица1[[#This Row],[Втб ао цена]]*1000</f>
        <v>49.29</v>
      </c>
      <c r="E6" s="4">
        <f>(Таблица1[[#This Row],[Втб ао цена]]-B5)/B5</f>
        <v>-8.2494969818913601E-3</v>
      </c>
      <c r="F6" s="3">
        <f>LN(Таблица1[[#This Row],[Втб ао объем]])</f>
        <v>27.816327953999615</v>
      </c>
      <c r="G6" s="3">
        <v>99.11</v>
      </c>
      <c r="H6" s="2">
        <v>1576313810</v>
      </c>
      <c r="I6" s="2">
        <f>Таблица4[[#This Row],[Сбербанк цена]]*1000</f>
        <v>99110</v>
      </c>
      <c r="J6" s="4">
        <f>(Таблица4[[#This Row],[Сбербанк цена]]-G5)/G5</f>
        <v>2.5288286465709083E-3</v>
      </c>
      <c r="K6" s="3">
        <f>LN(Таблица4[[#This Row],[Сбербанк объем]])</f>
        <v>21.17835492658104</v>
      </c>
      <c r="L6" s="3">
        <v>124.15</v>
      </c>
      <c r="M6" s="3">
        <f>Таблица4[[#This Row],[Газпром цена]]*1000</f>
        <v>124150</v>
      </c>
      <c r="N6" s="2">
        <v>986321760</v>
      </c>
      <c r="O6" s="3">
        <f>LN(Таблица4[[#This Row],[Газпром объем]])</f>
        <v>20.709493187933717</v>
      </c>
      <c r="P6" s="4">
        <f>(Таблица4[[#This Row],[Газпром цена]]-L5)/L5</f>
        <v>-7.4060262529832985E-2</v>
      </c>
    </row>
    <row r="7" spans="1:16" x14ac:dyDescent="0.2">
      <c r="A7" s="1">
        <v>41395</v>
      </c>
      <c r="B7" s="3">
        <v>4.5999999999999999E-2</v>
      </c>
      <c r="C7" s="2">
        <v>909928850000</v>
      </c>
      <c r="D7" s="2">
        <f>Таблица1[[#This Row],[Втб ао цена]]*1000</f>
        <v>46</v>
      </c>
      <c r="E7" s="4">
        <f>(Таблица1[[#This Row],[Втб ао цена]]-B6)/B6</f>
        <v>-6.6747819030229277E-2</v>
      </c>
      <c r="F7" s="3">
        <f>LN(Таблица1[[#This Row],[Втб ао объем]])</f>
        <v>27.536632246587374</v>
      </c>
      <c r="G7" s="3">
        <v>99.05</v>
      </c>
      <c r="H7" s="2">
        <v>1514417130</v>
      </c>
      <c r="I7" s="2">
        <f>Таблица4[[#This Row],[Сбербанк цена]]*1000</f>
        <v>99050</v>
      </c>
      <c r="J7" s="4">
        <f>(Таблица4[[#This Row],[Сбербанк цена]]-G6)/G6</f>
        <v>-6.0538795277976262E-4</v>
      </c>
      <c r="K7" s="3">
        <f>LN(Таблица4[[#This Row],[Сбербанк объем]])</f>
        <v>21.138296469205873</v>
      </c>
      <c r="L7" s="3">
        <v>123.4</v>
      </c>
      <c r="M7" s="3">
        <f>Таблица4[[#This Row],[Газпром цена]]*1000</f>
        <v>123400</v>
      </c>
      <c r="N7" s="2">
        <v>813775000</v>
      </c>
      <c r="O7" s="3">
        <f>LN(Таблица4[[#This Row],[Газпром объем]])</f>
        <v>20.517194472981348</v>
      </c>
      <c r="P7" s="4">
        <f>(Таблица4[[#This Row],[Газпром цена]]-L6)/L6</f>
        <v>-6.0410793395086586E-3</v>
      </c>
    </row>
    <row r="8" spans="1:16" x14ac:dyDescent="0.2">
      <c r="A8" s="1">
        <v>41426</v>
      </c>
      <c r="B8" s="3">
        <v>4.7010000000000003E-2</v>
      </c>
      <c r="C8" s="2">
        <v>773944750000</v>
      </c>
      <c r="D8" s="2">
        <f>Таблица1[[#This Row],[Втб ао цена]]*1000</f>
        <v>47.010000000000005</v>
      </c>
      <c r="E8" s="4">
        <f>(Таблица1[[#This Row],[Втб ао цена]]-B7)/B7</f>
        <v>2.195652173913052E-2</v>
      </c>
      <c r="F8" s="3">
        <f>LN(Таблица1[[#This Row],[Втб ао объем]])</f>
        <v>27.374766325559349</v>
      </c>
      <c r="G8" s="3">
        <v>93.68</v>
      </c>
      <c r="H8" s="2">
        <v>1603984540</v>
      </c>
      <c r="I8" s="2">
        <f>Таблица4[[#This Row],[Сбербанк цена]]*1000</f>
        <v>93680</v>
      </c>
      <c r="J8" s="4">
        <f>(Таблица4[[#This Row],[Сбербанк цена]]-G7)/G7</f>
        <v>-5.4215042907622316E-2</v>
      </c>
      <c r="K8" s="3">
        <f>LN(Таблица4[[#This Row],[Сбербанк объем]])</f>
        <v>21.195756707940294</v>
      </c>
      <c r="L8" s="3">
        <v>109.1</v>
      </c>
      <c r="M8" s="3">
        <f>Таблица4[[#This Row],[Газпром цена]]*1000</f>
        <v>109100</v>
      </c>
      <c r="N8" s="2">
        <v>769293390</v>
      </c>
      <c r="O8" s="3">
        <f>LN(Таблица4[[#This Row],[Газпром объем]])</f>
        <v>20.46098297616555</v>
      </c>
      <c r="P8" s="4">
        <f>(Таблица4[[#This Row],[Газпром цена]]-L7)/L7</f>
        <v>-0.11588330632090771</v>
      </c>
    </row>
    <row r="9" spans="1:16" x14ac:dyDescent="0.2">
      <c r="A9" s="1">
        <v>41456</v>
      </c>
      <c r="B9" s="3">
        <v>4.6609999999999999E-2</v>
      </c>
      <c r="C9" s="2">
        <v>689989310000</v>
      </c>
      <c r="D9" s="2">
        <f>Таблица1[[#This Row],[Втб ао цена]]*1000</f>
        <v>46.61</v>
      </c>
      <c r="E9" s="4">
        <f>(Таблица1[[#This Row],[Втб ао цена]]-B8)/B8</f>
        <v>-8.5088279089556365E-3</v>
      </c>
      <c r="F9" s="3">
        <f>LN(Таблица1[[#This Row],[Втб ао объем]])</f>
        <v>27.259941941664078</v>
      </c>
      <c r="G9" s="3">
        <v>95.23</v>
      </c>
      <c r="H9" s="2">
        <v>1721040080</v>
      </c>
      <c r="I9" s="2">
        <f>Таблица4[[#This Row],[Сбербанк цена]]*1000</f>
        <v>95230</v>
      </c>
      <c r="J9" s="4">
        <f>(Таблица4[[#This Row],[Сбербанк цена]]-G8)/G8</f>
        <v>1.6545687446626784E-2</v>
      </c>
      <c r="K9" s="3">
        <f>LN(Таблица4[[#This Row],[Сбербанк объем]])</f>
        <v>21.266194642690223</v>
      </c>
      <c r="L9" s="3">
        <v>128.61000000000001</v>
      </c>
      <c r="M9" s="3">
        <f>Таблица4[[#This Row],[Газпром цена]]*1000</f>
        <v>128610.00000000001</v>
      </c>
      <c r="N9" s="2">
        <v>879462790</v>
      </c>
      <c r="O9" s="3">
        <f>LN(Таблица4[[#This Row],[Газпром объем]])</f>
        <v>20.594821813117253</v>
      </c>
      <c r="P9" s="4">
        <f>(Таблица4[[#This Row],[Газпром цена]]-L8)/L8</f>
        <v>0.17882676443629716</v>
      </c>
    </row>
    <row r="10" spans="1:16" x14ac:dyDescent="0.2">
      <c r="A10" s="1">
        <v>41487</v>
      </c>
      <c r="B10" s="3">
        <v>4.4499999999999998E-2</v>
      </c>
      <c r="C10" s="2">
        <v>424102620000</v>
      </c>
      <c r="D10" s="2">
        <f>Таблица1[[#This Row],[Втб ао цена]]*1000</f>
        <v>44.5</v>
      </c>
      <c r="E10" s="4">
        <f>(Таблица1[[#This Row],[Втб ао цена]]-B9)/B9</f>
        <v>-4.5269255524565559E-2</v>
      </c>
      <c r="F10" s="3">
        <f>LN(Таблица1[[#This Row],[Втб ао объем]])</f>
        <v>26.773241291196133</v>
      </c>
      <c r="G10" s="3">
        <v>88.23</v>
      </c>
      <c r="H10" s="2">
        <v>1414145480</v>
      </c>
      <c r="I10" s="2">
        <f>Таблица4[[#This Row],[Сбербанк цена]]*1000</f>
        <v>88230</v>
      </c>
      <c r="J10" s="4">
        <f>(Таблица4[[#This Row],[Сбербанк цена]]-G9)/G9</f>
        <v>-7.3506248031082633E-2</v>
      </c>
      <c r="K10" s="3">
        <f>LN(Таблица4[[#This Row],[Сбербанк объем]])</f>
        <v>21.069791284559848</v>
      </c>
      <c r="L10" s="3">
        <v>131.9</v>
      </c>
      <c r="M10" s="3">
        <f>Таблица4[[#This Row],[Газпром цена]]*1000</f>
        <v>131900</v>
      </c>
      <c r="N10" s="2">
        <v>635494510</v>
      </c>
      <c r="O10" s="3">
        <f>LN(Таблица4[[#This Row],[Газпром объем]])</f>
        <v>20.269914009689433</v>
      </c>
      <c r="P10" s="4">
        <f>(Таблица4[[#This Row],[Газпром цена]]-L9)/L9</f>
        <v>2.5581214524531465E-2</v>
      </c>
    </row>
    <row r="11" spans="1:16" x14ac:dyDescent="0.2">
      <c r="A11" s="1">
        <v>41518</v>
      </c>
      <c r="B11" s="3">
        <v>4.267E-2</v>
      </c>
      <c r="C11" s="2">
        <v>770174060000</v>
      </c>
      <c r="D11" s="2">
        <f>Таблица1[[#This Row],[Втб ао цена]]*1000</f>
        <v>42.67</v>
      </c>
      <c r="E11" s="4">
        <f>(Таблица1[[#This Row],[Втб ао цена]]-B10)/B10</f>
        <v>-4.1123595505617942E-2</v>
      </c>
      <c r="F11" s="3">
        <f>LN(Таблица1[[#This Row],[Втб ао объем]])</f>
        <v>27.369882378196301</v>
      </c>
      <c r="G11" s="3">
        <v>97.86</v>
      </c>
      <c r="H11" s="2">
        <v>1926407650</v>
      </c>
      <c r="I11" s="2">
        <f>Таблица4[[#This Row],[Сбербанк цена]]*1000</f>
        <v>97860</v>
      </c>
      <c r="J11" s="4">
        <f>(Таблица4[[#This Row],[Сбербанк цена]]-G10)/G10</f>
        <v>0.10914654879292753</v>
      </c>
      <c r="K11" s="3">
        <f>LN(Таблица4[[#This Row],[Сбербанк объем]])</f>
        <v>21.378922784208765</v>
      </c>
      <c r="L11" s="3">
        <v>144.15</v>
      </c>
      <c r="M11" s="3">
        <f>Таблица4[[#This Row],[Газпром цена]]*1000</f>
        <v>144150</v>
      </c>
      <c r="N11" s="2">
        <v>1035314530</v>
      </c>
      <c r="O11" s="3">
        <f>LN(Таблица4[[#This Row],[Газпром объем]])</f>
        <v>20.757971111217206</v>
      </c>
      <c r="P11" s="4">
        <f>(Таблица4[[#This Row],[Газпром цена]]-L10)/L10</f>
        <v>9.2873388931008341E-2</v>
      </c>
    </row>
    <row r="12" spans="1:16" x14ac:dyDescent="0.2">
      <c r="A12" s="1">
        <v>41548</v>
      </c>
      <c r="B12" s="3">
        <v>4.4350000000000001E-2</v>
      </c>
      <c r="C12" s="2">
        <v>1095103330000</v>
      </c>
      <c r="D12" s="2">
        <f>Таблица1[[#This Row],[Втб ао цена]]*1000</f>
        <v>44.35</v>
      </c>
      <c r="E12" s="4">
        <f>(Таблица1[[#This Row],[Втб ао цена]]-B11)/B11</f>
        <v>3.9371924068432179E-2</v>
      </c>
      <c r="F12" s="3">
        <f>LN(Таблица1[[#This Row],[Втб ао объем]])</f>
        <v>27.721869840041691</v>
      </c>
      <c r="G12" s="3">
        <v>102.74</v>
      </c>
      <c r="H12" s="2">
        <v>1935002670</v>
      </c>
      <c r="I12" s="2">
        <f>Таблица4[[#This Row],[Сбербанк цена]]*1000</f>
        <v>102740</v>
      </c>
      <c r="J12" s="4">
        <f>(Таблица4[[#This Row],[Сбербанк цена]]-G11)/G11</f>
        <v>4.9867157163294457E-2</v>
      </c>
      <c r="K12" s="3">
        <f>LN(Таблица4[[#This Row],[Сбербанк объем]])</f>
        <v>21.383374543272165</v>
      </c>
      <c r="L12" s="3">
        <v>150.4</v>
      </c>
      <c r="M12" s="3">
        <f>Таблица4[[#This Row],[Газпром цена]]*1000</f>
        <v>150400</v>
      </c>
      <c r="N12" s="2">
        <v>1120379070</v>
      </c>
      <c r="O12" s="3">
        <f>LN(Таблица4[[#This Row],[Газпром объем]])</f>
        <v>20.836932920347461</v>
      </c>
      <c r="P12" s="4">
        <f>(Таблица4[[#This Row],[Газпром цена]]-L11)/L11</f>
        <v>4.335761359694762E-2</v>
      </c>
    </row>
    <row r="13" spans="1:16" x14ac:dyDescent="0.2">
      <c r="A13" s="1">
        <v>41579</v>
      </c>
      <c r="B13" s="3">
        <v>4.6280000000000002E-2</v>
      </c>
      <c r="C13" s="2">
        <v>1117892430000</v>
      </c>
      <c r="D13" s="2">
        <f>Таблица1[[#This Row],[Втб ао цена]]*1000</f>
        <v>46.28</v>
      </c>
      <c r="E13" s="4">
        <f>(Таблица1[[#This Row],[Втб ао цена]]-B12)/B12</f>
        <v>4.3517474633596419E-2</v>
      </c>
      <c r="F13" s="3">
        <f>LN(Таблица1[[#This Row],[Втб ао объем]])</f>
        <v>27.742466269574393</v>
      </c>
      <c r="G13" s="3">
        <v>103.07</v>
      </c>
      <c r="H13" s="2">
        <v>1659044880</v>
      </c>
      <c r="I13" s="2">
        <f>Таблица4[[#This Row],[Сбербанк цена]]*1000</f>
        <v>103070</v>
      </c>
      <c r="J13" s="4">
        <f>(Таблица4[[#This Row],[Сбербанк цена]]-G12)/G12</f>
        <v>3.211991434689491E-3</v>
      </c>
      <c r="K13" s="3">
        <f>LN(Таблица4[[#This Row],[Сбербанк объем]])</f>
        <v>21.229507900230036</v>
      </c>
      <c r="L13" s="3">
        <v>143.1</v>
      </c>
      <c r="M13" s="3">
        <f>Таблица4[[#This Row],[Газпром цена]]*1000</f>
        <v>143100</v>
      </c>
      <c r="N13" s="2">
        <v>1035969280</v>
      </c>
      <c r="O13" s="3">
        <f>LN(Таблица4[[#This Row],[Газпром объем]])</f>
        <v>20.758603327834404</v>
      </c>
      <c r="P13" s="4">
        <f>(Таблица4[[#This Row],[Газпром цена]]-L12)/L12</f>
        <v>-4.8537234042553265E-2</v>
      </c>
    </row>
    <row r="14" spans="1:16" x14ac:dyDescent="0.2">
      <c r="A14" s="1">
        <v>41609</v>
      </c>
      <c r="B14" s="3">
        <v>4.9660000000000003E-2</v>
      </c>
      <c r="C14" s="2">
        <v>883378010000</v>
      </c>
      <c r="D14" s="2">
        <f>Таблица1[[#This Row],[Втб ао цена]]*1000</f>
        <v>49.660000000000004</v>
      </c>
      <c r="E14" s="4">
        <f>(Таблица1[[#This Row],[Втб ао цена]]-B13)/B13</f>
        <v>7.3033707865168565E-2</v>
      </c>
      <c r="F14" s="3">
        <f>LN(Таблица1[[#This Row],[Втб ао объем]])</f>
        <v>27.507019043338069</v>
      </c>
      <c r="G14" s="3">
        <v>101.17</v>
      </c>
      <c r="H14" s="2">
        <v>1563416090</v>
      </c>
      <c r="I14" s="2">
        <f>Таблица4[[#This Row],[Сбербанк цена]]*1000</f>
        <v>101170</v>
      </c>
      <c r="J14" s="4">
        <f>(Таблица4[[#This Row],[Сбербанк цена]]-G13)/G13</f>
        <v>-1.8434073930338524E-2</v>
      </c>
      <c r="K14" s="3">
        <f>LN(Таблица4[[#This Row],[Сбербанк объем]])</f>
        <v>21.170139065369543</v>
      </c>
      <c r="L14" s="3">
        <v>138.75</v>
      </c>
      <c r="M14" s="3">
        <f>Таблица4[[#This Row],[Газпром цена]]*1000</f>
        <v>138750</v>
      </c>
      <c r="N14" s="2">
        <v>1050788060</v>
      </c>
      <c r="O14" s="3">
        <f>LN(Таблица4[[#This Row],[Газпром объем]])</f>
        <v>20.77280625293988</v>
      </c>
      <c r="P14" s="4">
        <f>(Таблица4[[#This Row],[Газпром цена]]-L13)/L13</f>
        <v>-3.0398322851153001E-2</v>
      </c>
    </row>
    <row r="15" spans="1:16" x14ac:dyDescent="0.2">
      <c r="A15" s="1">
        <v>41640</v>
      </c>
      <c r="B15" s="3">
        <v>4.5440000000000001E-2</v>
      </c>
      <c r="C15" s="2">
        <v>562228330000</v>
      </c>
      <c r="D15" s="2">
        <f>Таблица1[[#This Row],[Втб ао цена]]*1000</f>
        <v>45.44</v>
      </c>
      <c r="E15" s="4">
        <f>(Таблица1[[#This Row],[Втб ао цена]]-B14)/B14</f>
        <v>-8.4977849375755157E-2</v>
      </c>
      <c r="F15" s="3">
        <f>LN(Таблица1[[#This Row],[Втб ао объем]])</f>
        <v>27.055173885469056</v>
      </c>
      <c r="G15" s="3">
        <v>94.7</v>
      </c>
      <c r="H15" s="2">
        <v>1427259190</v>
      </c>
      <c r="I15" s="2">
        <f>Таблица4[[#This Row],[Сбербанк цена]]*1000</f>
        <v>94700</v>
      </c>
      <c r="J15" s="4">
        <f>(Таблица4[[#This Row],[Сбербанк цена]]-G14)/G14</f>
        <v>-6.3951764357022822E-2</v>
      </c>
      <c r="K15" s="3">
        <f>LN(Таблица4[[#This Row],[Сбербанк объем]])</f>
        <v>21.079021791743948</v>
      </c>
      <c r="L15" s="3">
        <v>145.16</v>
      </c>
      <c r="M15" s="3">
        <f>Таблица4[[#This Row],[Газпром цена]]*1000</f>
        <v>145160</v>
      </c>
      <c r="N15" s="2">
        <v>1056510690</v>
      </c>
      <c r="O15" s="3">
        <f>LN(Таблица4[[#This Row],[Газпром объем]])</f>
        <v>20.778237513284388</v>
      </c>
      <c r="P15" s="4">
        <f>(Таблица4[[#This Row],[Газпром цена]]-L14)/L14</f>
        <v>4.6198198198198176E-2</v>
      </c>
    </row>
    <row r="16" spans="1:16" x14ac:dyDescent="0.2">
      <c r="A16" s="1">
        <v>41671</v>
      </c>
      <c r="B16" s="3">
        <v>4.2130000000000001E-2</v>
      </c>
      <c r="C16" s="2">
        <v>531533830000</v>
      </c>
      <c r="D16" s="2">
        <f>Таблица1[[#This Row],[Втб ао цена]]*1000</f>
        <v>42.13</v>
      </c>
      <c r="E16" s="4">
        <f>(Таблица1[[#This Row],[Втб ао цена]]-B15)/B15</f>
        <v>-7.2843309859154937E-2</v>
      </c>
      <c r="F16" s="3">
        <f>LN(Таблица1[[#This Row],[Втб ао объем]])</f>
        <v>26.999032682749871</v>
      </c>
      <c r="G16" s="3">
        <v>91.16</v>
      </c>
      <c r="H16" s="2">
        <v>1510458530</v>
      </c>
      <c r="I16" s="2">
        <f>Таблица4[[#This Row],[Сбербанк цена]]*1000</f>
        <v>91160</v>
      </c>
      <c r="J16" s="4">
        <f>(Таблица4[[#This Row],[Сбербанк цена]]-G15)/G15</f>
        <v>-3.738120380147842E-2</v>
      </c>
      <c r="K16" s="3">
        <f>LN(Таблица4[[#This Row],[Сбербанк объем]])</f>
        <v>21.135679103928851</v>
      </c>
      <c r="L16" s="3">
        <v>139.19999999999999</v>
      </c>
      <c r="M16" s="3">
        <f>Таблица4[[#This Row],[Газпром цена]]*1000</f>
        <v>139200</v>
      </c>
      <c r="N16" s="2">
        <v>1110186930</v>
      </c>
      <c r="O16" s="3">
        <f>LN(Таблица4[[#This Row],[Газпром объем]])</f>
        <v>20.827794243497461</v>
      </c>
      <c r="P16" s="4">
        <f>(Таблица4[[#This Row],[Газпром цена]]-L15)/L15</f>
        <v>-4.1058142739046628E-2</v>
      </c>
    </row>
    <row r="17" spans="1:16" x14ac:dyDescent="0.2">
      <c r="A17" s="1">
        <v>41699</v>
      </c>
      <c r="B17" s="3">
        <v>3.9600000000000003E-2</v>
      </c>
      <c r="C17" s="2">
        <v>1718001780000</v>
      </c>
      <c r="D17" s="2">
        <f>Таблица1[[#This Row],[Втб ао цена]]*1000</f>
        <v>39.6</v>
      </c>
      <c r="E17" s="4">
        <f>(Таблица1[[#This Row],[Втб ао цена]]-B16)/B16</f>
        <v>-6.0052219321148764E-2</v>
      </c>
      <c r="F17" s="3">
        <f>LN(Таблица1[[#This Row],[Втб ао объем]])</f>
        <v>28.172182975578551</v>
      </c>
      <c r="G17" s="3">
        <v>83.8</v>
      </c>
      <c r="H17" s="2">
        <v>4898591710</v>
      </c>
      <c r="I17" s="2">
        <f>Таблица4[[#This Row],[Сбербанк цена]]*1000</f>
        <v>83800</v>
      </c>
      <c r="J17" s="4">
        <f>(Таблица4[[#This Row],[Сбербанк цена]]-G16)/G16</f>
        <v>-8.0737165423431331E-2</v>
      </c>
      <c r="K17" s="3">
        <f>LN(Таблица4[[#This Row],[Сбербанк объем]])</f>
        <v>22.312213594631487</v>
      </c>
      <c r="L17" s="3">
        <v>135.5</v>
      </c>
      <c r="M17" s="3">
        <f>Таблица4[[#This Row],[Газпром цена]]*1000</f>
        <v>135500</v>
      </c>
      <c r="N17" s="2">
        <v>2038314440</v>
      </c>
      <c r="O17" s="3">
        <f>LN(Таблица4[[#This Row],[Газпром объем]])</f>
        <v>21.435389048363849</v>
      </c>
      <c r="P17" s="4">
        <f>(Таблица4[[#This Row],[Газпром цена]]-L16)/L16</f>
        <v>-2.6580459770114861E-2</v>
      </c>
    </row>
    <row r="18" spans="1:16" x14ac:dyDescent="0.2">
      <c r="A18" s="1">
        <v>41730</v>
      </c>
      <c r="B18" s="3">
        <v>3.8649999999999997E-2</v>
      </c>
      <c r="C18" s="2">
        <v>1581562680000</v>
      </c>
      <c r="D18" s="2">
        <f>Таблица1[[#This Row],[Втб ао цена]]*1000</f>
        <v>38.65</v>
      </c>
      <c r="E18" s="4">
        <f>(Таблица1[[#This Row],[Втб ао цена]]-B17)/B17</f>
        <v>-2.3989898989899148E-2</v>
      </c>
      <c r="F18" s="3">
        <f>LN(Таблица1[[#This Row],[Втб ао объем]])</f>
        <v>28.089434512166303</v>
      </c>
      <c r="G18" s="3">
        <v>72.5</v>
      </c>
      <c r="H18" s="2">
        <v>4013046200</v>
      </c>
      <c r="I18" s="2">
        <f>Таблица4[[#This Row],[Сбербанк цена]]*1000</f>
        <v>72500</v>
      </c>
      <c r="J18" s="4">
        <f>(Таблица4[[#This Row],[Сбербанк цена]]-G17)/G17</f>
        <v>-0.1348448687350835</v>
      </c>
      <c r="K18" s="3">
        <f>LN(Таблица4[[#This Row],[Сбербанк объем]])</f>
        <v>22.112816440749022</v>
      </c>
      <c r="L18" s="3">
        <v>128.77000000000001</v>
      </c>
      <c r="M18" s="3">
        <f>Таблица4[[#This Row],[Газпром цена]]*1000</f>
        <v>128770.00000000001</v>
      </c>
      <c r="N18" s="2">
        <v>1377698400</v>
      </c>
      <c r="O18" s="3">
        <f>LN(Таблица4[[#This Row],[Газпром объем]])</f>
        <v>21.043680117658269</v>
      </c>
      <c r="P18" s="4">
        <f>(Таблица4[[#This Row],[Газпром цена]]-L17)/L17</f>
        <v>-4.9667896678966712E-2</v>
      </c>
    </row>
    <row r="19" spans="1:16" x14ac:dyDescent="0.2">
      <c r="A19" s="1">
        <v>41760</v>
      </c>
      <c r="B19" s="3">
        <v>4.7899999999999998E-2</v>
      </c>
      <c r="C19" s="2">
        <v>1337467810000</v>
      </c>
      <c r="D19" s="2">
        <f>Таблица1[[#This Row],[Втб ао цена]]*1000</f>
        <v>47.9</v>
      </c>
      <c r="E19" s="4">
        <f>(Таблица1[[#This Row],[Втб ао цена]]-B18)/B18</f>
        <v>0.23932729624838298</v>
      </c>
      <c r="F19" s="3">
        <f>LN(Таблица1[[#This Row],[Втб ао объем]])</f>
        <v>27.92179924813723</v>
      </c>
      <c r="G19" s="3">
        <v>84.5</v>
      </c>
      <c r="H19" s="2">
        <v>3001439250</v>
      </c>
      <c r="I19" s="2">
        <f>Таблица4[[#This Row],[Сбербанк цена]]*1000</f>
        <v>84500</v>
      </c>
      <c r="J19" s="4">
        <f>(Таблица4[[#This Row],[Сбербанк цена]]-G18)/G18</f>
        <v>0.16551724137931034</v>
      </c>
      <c r="K19" s="3">
        <f>LN(Таблица4[[#This Row],[Сбербанк объем]])</f>
        <v>21.822357760571283</v>
      </c>
      <c r="L19" s="3">
        <v>141.69999999999999</v>
      </c>
      <c r="M19" s="3">
        <f>Таблица4[[#This Row],[Газпром цена]]*1000</f>
        <v>141700</v>
      </c>
      <c r="N19" s="2">
        <v>1168270410</v>
      </c>
      <c r="O19" s="3">
        <f>LN(Таблица4[[#This Row],[Газпром объем]])</f>
        <v>20.87879020996785</v>
      </c>
      <c r="P19" s="4">
        <f>(Таблица4[[#This Row],[Газпром цена]]-L18)/L18</f>
        <v>0.10041158654966201</v>
      </c>
    </row>
    <row r="20" spans="1:16" x14ac:dyDescent="0.2">
      <c r="A20" s="1">
        <v>41791</v>
      </c>
      <c r="B20" s="3">
        <v>4.1099999999999998E-2</v>
      </c>
      <c r="C20" s="2">
        <v>1219984610000</v>
      </c>
      <c r="D20" s="2">
        <f>Таблица1[[#This Row],[Втб ао цена]]*1000</f>
        <v>41.099999999999994</v>
      </c>
      <c r="E20" s="4">
        <f>(Таблица1[[#This Row],[Втб ао цена]]-B19)/B19</f>
        <v>-0.14196242171189979</v>
      </c>
      <c r="F20" s="3">
        <f>LN(Таблица1[[#This Row],[Втб ао объем]])</f>
        <v>27.82985935984005</v>
      </c>
      <c r="G20" s="3">
        <v>84.5</v>
      </c>
      <c r="H20" s="2">
        <v>2008494660</v>
      </c>
      <c r="I20" s="2">
        <f>Таблица4[[#This Row],[Сбербанк цена]]*1000</f>
        <v>84500</v>
      </c>
      <c r="J20" s="4">
        <f>(Таблица4[[#This Row],[Сбербанк цена]]-G19)/G19</f>
        <v>0</v>
      </c>
      <c r="K20" s="3">
        <f>LN(Таблица4[[#This Row],[Сбербанк объем]])</f>
        <v>21.420651353059554</v>
      </c>
      <c r="L20" s="3">
        <v>148.96</v>
      </c>
      <c r="M20" s="3">
        <f>Таблица4[[#This Row],[Газпром цена]]*1000</f>
        <v>148960</v>
      </c>
      <c r="N20" s="2">
        <v>885913470</v>
      </c>
      <c r="O20" s="3">
        <f>LN(Таблица4[[#This Row],[Газпром объем]])</f>
        <v>20.602129840143064</v>
      </c>
      <c r="P20" s="4">
        <f>(Таблица4[[#This Row],[Газпром цена]]-L19)/L19</f>
        <v>5.1235003528581652E-2</v>
      </c>
    </row>
    <row r="21" spans="1:16" x14ac:dyDescent="0.2">
      <c r="A21" s="1">
        <v>41821</v>
      </c>
      <c r="B21" s="3">
        <v>3.9800000000000002E-2</v>
      </c>
      <c r="C21" s="2">
        <v>1064257460000</v>
      </c>
      <c r="D21" s="2">
        <f>Таблица1[[#This Row],[Втб ао цена]]*1000</f>
        <v>39.800000000000004</v>
      </c>
      <c r="E21" s="4">
        <f>(Таблица1[[#This Row],[Втб ао цена]]-B20)/B20</f>
        <v>-3.1630170316301595E-2</v>
      </c>
      <c r="F21" s="3">
        <f>LN(Таблица1[[#This Row],[Втб ао объем]])</f>
        <v>27.693298451261303</v>
      </c>
      <c r="G21" s="3">
        <v>73.599999999999994</v>
      </c>
      <c r="H21" s="2">
        <v>2551370010</v>
      </c>
      <c r="I21" s="2">
        <f>Таблица4[[#This Row],[Сбербанк цена]]*1000</f>
        <v>73600</v>
      </c>
      <c r="J21" s="4">
        <f>(Таблица4[[#This Row],[Сбербанк цена]]-G20)/G20</f>
        <v>-0.12899408284023675</v>
      </c>
      <c r="K21" s="3">
        <f>LN(Таблица4[[#This Row],[Сбербанк объем]])</f>
        <v>21.659896310668426</v>
      </c>
      <c r="L21" s="3">
        <v>132</v>
      </c>
      <c r="M21" s="3">
        <f>Таблица4[[#This Row],[Газпром цена]]*1000</f>
        <v>132000</v>
      </c>
      <c r="N21" s="2">
        <v>1004959980</v>
      </c>
      <c r="O21" s="3">
        <f>LN(Таблица4[[#This Row],[Газпром объем]])</f>
        <v>20.728213556769056</v>
      </c>
      <c r="P21" s="4">
        <f>(Таблица4[[#This Row],[Газпром цена]]-L20)/L20</f>
        <v>-0.11385606874328684</v>
      </c>
    </row>
    <row r="22" spans="1:16" x14ac:dyDescent="0.2">
      <c r="A22" s="1">
        <v>41852</v>
      </c>
      <c r="B22" s="3">
        <v>3.8399999999999997E-2</v>
      </c>
      <c r="C22" s="2">
        <v>699479420000</v>
      </c>
      <c r="D22" s="2">
        <f>Таблица1[[#This Row],[Втб ао цена]]*1000</f>
        <v>38.4</v>
      </c>
      <c r="E22" s="4">
        <f>(Таблица1[[#This Row],[Втб ао цена]]-B21)/B21</f>
        <v>-3.5175879396985056E-2</v>
      </c>
      <c r="F22" s="3">
        <f>LN(Таблица1[[#This Row],[Втб ао объем]])</f>
        <v>27.273602209604128</v>
      </c>
      <c r="G22" s="3">
        <v>73.209999999999994</v>
      </c>
      <c r="H22" s="2">
        <v>3076887590</v>
      </c>
      <c r="I22" s="2">
        <f>Таблица4[[#This Row],[Сбербанк цена]]*1000</f>
        <v>73210</v>
      </c>
      <c r="J22" s="4">
        <f>(Таблица4[[#This Row],[Сбербанк цена]]-G21)/G21</f>
        <v>-5.2989130434782693E-3</v>
      </c>
      <c r="K22" s="3">
        <f>LN(Таблица4[[#This Row],[Сбербанк объем]])</f>
        <v>21.847184400282302</v>
      </c>
      <c r="L22" s="3">
        <v>131.94999999999999</v>
      </c>
      <c r="M22" s="3">
        <f>Таблица4[[#This Row],[Газпром цена]]*1000</f>
        <v>131950</v>
      </c>
      <c r="N22" s="2">
        <v>851294800</v>
      </c>
      <c r="O22" s="3">
        <f>LN(Таблица4[[#This Row],[Газпром объем]])</f>
        <v>20.562269042530684</v>
      </c>
      <c r="P22" s="4">
        <f>(Таблица4[[#This Row],[Газпром цена]]-L21)/L21</f>
        <v>-3.7878787878796493E-4</v>
      </c>
    </row>
    <row r="23" spans="1:16" x14ac:dyDescent="0.2">
      <c r="A23" s="1">
        <v>41883</v>
      </c>
      <c r="B23" s="3">
        <v>3.8039999999999997E-2</v>
      </c>
      <c r="C23" s="2">
        <v>534436210000</v>
      </c>
      <c r="D23" s="2">
        <f>Таблица1[[#This Row],[Втб ао цена]]*1000</f>
        <v>38.04</v>
      </c>
      <c r="E23" s="4">
        <f>(Таблица1[[#This Row],[Втб ао цена]]-B22)/B22</f>
        <v>-9.3749999999999806E-3</v>
      </c>
      <c r="F23" s="3">
        <f>LN(Таблица1[[#This Row],[Втб ао объем]])</f>
        <v>27.004478215106893</v>
      </c>
      <c r="G23" s="3">
        <v>75.52</v>
      </c>
      <c r="H23" s="2">
        <v>2891411920</v>
      </c>
      <c r="I23" s="2">
        <f>Таблица4[[#This Row],[Сбербанк цена]]*1000</f>
        <v>75520</v>
      </c>
      <c r="J23" s="4">
        <f>(Таблица4[[#This Row],[Сбербанк цена]]-G22)/G22</f>
        <v>3.1553066520967114E-2</v>
      </c>
      <c r="K23" s="3">
        <f>LN(Таблица4[[#This Row],[Сбербанк объем]])</f>
        <v>21.785010773400501</v>
      </c>
      <c r="L23" s="3">
        <v>137.9</v>
      </c>
      <c r="M23" s="3">
        <f>Таблица4[[#This Row],[Газпром цена]]*1000</f>
        <v>137900</v>
      </c>
      <c r="N23" s="2">
        <v>797896850</v>
      </c>
      <c r="O23" s="3">
        <f>LN(Таблица4[[#This Row],[Газпром объем]])</f>
        <v>20.497489886407575</v>
      </c>
      <c r="P23" s="4">
        <f>(Таблица4[[#This Row],[Газпром цена]]-L22)/L22</f>
        <v>4.5092838196286608E-2</v>
      </c>
    </row>
    <row r="24" spans="1:16" x14ac:dyDescent="0.2">
      <c r="A24" s="1">
        <v>41913</v>
      </c>
      <c r="B24" s="3">
        <v>3.993E-2</v>
      </c>
      <c r="C24" s="2">
        <v>552675470000</v>
      </c>
      <c r="D24" s="2">
        <f>Таблица1[[#This Row],[Втб ао цена]]*1000</f>
        <v>39.93</v>
      </c>
      <c r="E24" s="4">
        <f>(Таблица1[[#This Row],[Втб ао цена]]-B23)/B23</f>
        <v>4.9684542586750868E-2</v>
      </c>
      <c r="F24" s="3">
        <f>LN(Таблица1[[#This Row],[Втб ао объем]])</f>
        <v>27.038036812676594</v>
      </c>
      <c r="G24" s="3">
        <v>76.23</v>
      </c>
      <c r="H24" s="2">
        <v>2905609940</v>
      </c>
      <c r="I24" s="2">
        <f>Таблица4[[#This Row],[Сбербанк цена]]*1000</f>
        <v>76230</v>
      </c>
      <c r="J24" s="4">
        <f>(Таблица4[[#This Row],[Сбербанк цена]]-G23)/G23</f>
        <v>9.4014830508475627E-3</v>
      </c>
      <c r="K24" s="3">
        <f>LN(Таблица4[[#This Row],[Сбербанк объем]])</f>
        <v>21.789909167345574</v>
      </c>
      <c r="L24" s="3">
        <v>141.5</v>
      </c>
      <c r="M24" s="3">
        <f>Таблица4[[#This Row],[Газпром цена]]*1000</f>
        <v>141500</v>
      </c>
      <c r="N24" s="2">
        <v>857933800</v>
      </c>
      <c r="O24" s="3">
        <f>LN(Таблица4[[#This Row],[Газпром объем]])</f>
        <v>20.57003749829839</v>
      </c>
      <c r="P24" s="4">
        <f>(Таблица4[[#This Row],[Газпром цена]]-L23)/L23</f>
        <v>2.610587382160982E-2</v>
      </c>
    </row>
    <row r="25" spans="1:16" x14ac:dyDescent="0.2">
      <c r="A25" s="1">
        <v>41944</v>
      </c>
      <c r="B25" s="3">
        <v>4.6699999999999998E-2</v>
      </c>
      <c r="C25" s="2">
        <v>1215936210000</v>
      </c>
      <c r="D25" s="2">
        <f>Таблица1[[#This Row],[Втб ао цена]]*1000</f>
        <v>46.699999999999996</v>
      </c>
      <c r="E25" s="4">
        <f>(Таблица1[[#This Row],[Втб ао цена]]-B24)/B24</f>
        <v>0.16954670673678934</v>
      </c>
      <c r="F25" s="3">
        <f>LN(Таблица1[[#This Row],[Втб ао объем]])</f>
        <v>27.826535439214929</v>
      </c>
      <c r="G25" s="3">
        <v>72.25</v>
      </c>
      <c r="H25" s="2">
        <v>2030051460</v>
      </c>
      <c r="I25" s="2">
        <f>Таблица4[[#This Row],[Сбербанк цена]]*1000</f>
        <v>72250</v>
      </c>
      <c r="J25" s="4">
        <f>(Таблица4[[#This Row],[Сбербанк цена]]-G24)/G24</f>
        <v>-5.2210415846779532E-2</v>
      </c>
      <c r="K25" s="3">
        <f>LN(Таблица4[[#This Row],[Сбербанк объем]])</f>
        <v>21.431326979432502</v>
      </c>
      <c r="L25" s="3">
        <v>142.86000000000001</v>
      </c>
      <c r="M25" s="3">
        <f>Таблица4[[#This Row],[Газпром цена]]*1000</f>
        <v>142860</v>
      </c>
      <c r="N25" s="2">
        <v>691989260</v>
      </c>
      <c r="O25" s="3">
        <f>LN(Таблица4[[#This Row],[Газпром объем]])</f>
        <v>20.355080993230288</v>
      </c>
      <c r="P25" s="4">
        <f>(Таблица4[[#This Row],[Газпром цена]]-L24)/L24</f>
        <v>9.6113074204947965E-3</v>
      </c>
    </row>
    <row r="26" spans="1:16" x14ac:dyDescent="0.2">
      <c r="A26" s="1">
        <v>41974</v>
      </c>
      <c r="B26" s="3">
        <v>6.7000000000000004E-2</v>
      </c>
      <c r="C26" s="2">
        <v>1901970000000</v>
      </c>
      <c r="D26" s="2">
        <f>Таблица1[[#This Row],[Втб ао цена]]*1000</f>
        <v>67</v>
      </c>
      <c r="E26" s="4">
        <f>(Таблица1[[#This Row],[Втб ао цена]]-B25)/B25</f>
        <v>0.4346895074946468</v>
      </c>
      <c r="F26" s="3">
        <f>LN(Таблица1[[#This Row],[Втб ао объем]])</f>
        <v>28.273911307056693</v>
      </c>
      <c r="G26" s="3">
        <v>54.9</v>
      </c>
      <c r="H26" s="2">
        <v>4337561310</v>
      </c>
      <c r="I26" s="2">
        <f>Таблица4[[#This Row],[Сбербанк цена]]*1000</f>
        <v>54900</v>
      </c>
      <c r="J26" s="4">
        <f>(Таблица4[[#This Row],[Сбербанк цена]]-G25)/G25</f>
        <v>-0.24013840830449829</v>
      </c>
      <c r="K26" s="3">
        <f>LN(Таблица4[[#This Row],[Сбербанк объем]])</f>
        <v>22.190578116989808</v>
      </c>
      <c r="L26" s="3">
        <v>130.31</v>
      </c>
      <c r="M26" s="3">
        <f>Таблица4[[#This Row],[Газпром цена]]*1000</f>
        <v>130310</v>
      </c>
      <c r="N26" s="2">
        <v>983856510</v>
      </c>
      <c r="O26" s="3">
        <f>LN(Таблица4[[#This Row],[Газпром объем]])</f>
        <v>20.706990621212565</v>
      </c>
      <c r="P26" s="4">
        <f>(Таблица4[[#This Row],[Газпром цена]]-L25)/L25</f>
        <v>-8.784824303513937E-2</v>
      </c>
    </row>
    <row r="27" spans="1:16" x14ac:dyDescent="0.2">
      <c r="A27" s="1">
        <v>42005</v>
      </c>
      <c r="B27" s="3">
        <v>6.8940000000000001E-2</v>
      </c>
      <c r="C27" s="2">
        <v>472099150000</v>
      </c>
      <c r="D27" s="2">
        <f>Таблица1[[#This Row],[Втб ао цена]]*1000</f>
        <v>68.94</v>
      </c>
      <c r="E27" s="4">
        <f>(Таблица1[[#This Row],[Втб ао цена]]-B26)/B26</f>
        <v>2.8955223880596972E-2</v>
      </c>
      <c r="F27" s="3">
        <f>LN(Таблица1[[#This Row],[Втб ао объем]])</f>
        <v>26.88045486403103</v>
      </c>
      <c r="G27" s="3">
        <v>61.5</v>
      </c>
      <c r="H27" s="2">
        <v>2691982770</v>
      </c>
      <c r="I27" s="2">
        <f>Таблица4[[#This Row],[Сбербанк цена]]*1000</f>
        <v>61500</v>
      </c>
      <c r="J27" s="4">
        <f>(Таблица4[[#This Row],[Сбербанк цена]]-G26)/G26</f>
        <v>0.1202185792349727</v>
      </c>
      <c r="K27" s="3">
        <f>LN(Таблица4[[#This Row],[Сбербанк объем]])</f>
        <v>21.713543848262645</v>
      </c>
      <c r="L27" s="3">
        <v>143.82</v>
      </c>
      <c r="M27" s="3">
        <f>Таблица4[[#This Row],[Газпром цена]]*1000</f>
        <v>143820</v>
      </c>
      <c r="N27" s="2">
        <v>652102830</v>
      </c>
      <c r="O27" s="3">
        <f>LN(Таблица4[[#This Row],[Газпром объем]])</f>
        <v>20.295712822179194</v>
      </c>
      <c r="P27" s="4">
        <f>(Таблица4[[#This Row],[Газпром цена]]-L26)/L26</f>
        <v>0.10367584989640082</v>
      </c>
    </row>
    <row r="28" spans="1:16" x14ac:dyDescent="0.2">
      <c r="A28" s="1">
        <v>42036</v>
      </c>
      <c r="B28" s="3">
        <v>6.8000000000000005E-2</v>
      </c>
      <c r="C28" s="2">
        <v>435810560000</v>
      </c>
      <c r="D28" s="2">
        <f>Таблица1[[#This Row],[Втб ао цена]]*1000</f>
        <v>68</v>
      </c>
      <c r="E28" s="4">
        <f>(Таблица1[[#This Row],[Втб ао цена]]-B27)/B27</f>
        <v>-1.3635044966637604E-2</v>
      </c>
      <c r="F28" s="3">
        <f>LN(Таблица1[[#This Row],[Втб ао объем]])</f>
        <v>26.800473490462117</v>
      </c>
      <c r="G28" s="3">
        <v>75.91</v>
      </c>
      <c r="H28" s="2">
        <v>3583789870</v>
      </c>
      <c r="I28" s="2">
        <f>Таблица4[[#This Row],[Сбербанк цена]]*1000</f>
        <v>75910</v>
      </c>
      <c r="J28" s="4">
        <f>(Таблица4[[#This Row],[Сбербанк цена]]-G27)/G27</f>
        <v>0.23430894308943084</v>
      </c>
      <c r="K28" s="3">
        <f>LN(Таблица4[[#This Row],[Сбербанк объем]])</f>
        <v>21.999686700317966</v>
      </c>
      <c r="L28" s="3">
        <v>152.94999999999999</v>
      </c>
      <c r="M28" s="3">
        <f>Таблица4[[#This Row],[Газпром цена]]*1000</f>
        <v>152950</v>
      </c>
      <c r="N28" s="2">
        <v>919520350</v>
      </c>
      <c r="O28" s="3">
        <f>LN(Таблица4[[#This Row],[Газпром объем]])</f>
        <v>20.639362733357007</v>
      </c>
      <c r="P28" s="4">
        <f>(Таблица4[[#This Row],[Газпром цена]]-L27)/L27</f>
        <v>6.3482130440828788E-2</v>
      </c>
    </row>
    <row r="29" spans="1:16" x14ac:dyDescent="0.2">
      <c r="A29" s="1">
        <v>42064</v>
      </c>
      <c r="B29" s="3">
        <v>0.06</v>
      </c>
      <c r="C29" s="2">
        <v>380858460000</v>
      </c>
      <c r="D29" s="2">
        <f>Таблица1[[#This Row],[Втб ао цена]]*1000</f>
        <v>60</v>
      </c>
      <c r="E29" s="4">
        <f>(Таблица1[[#This Row],[Втб ао цена]]-B28)/B28</f>
        <v>-0.11764705882352951</v>
      </c>
      <c r="F29" s="3">
        <f>LN(Таблица1[[#This Row],[Втб ао объем]])</f>
        <v>26.665693646988363</v>
      </c>
      <c r="G29" s="3">
        <v>62.88</v>
      </c>
      <c r="H29" s="2">
        <v>2785656310</v>
      </c>
      <c r="I29" s="2">
        <f>Таблица4[[#This Row],[Сбербанк цена]]*1000</f>
        <v>62880</v>
      </c>
      <c r="J29" s="4">
        <f>(Таблица4[[#This Row],[Сбербанк цена]]-G28)/G28</f>
        <v>-0.17165063891450394</v>
      </c>
      <c r="K29" s="3">
        <f>LN(Таблица4[[#This Row],[Сбербанк объем]])</f>
        <v>21.74774934144936</v>
      </c>
      <c r="L29" s="3">
        <v>138.9</v>
      </c>
      <c r="M29" s="3">
        <f>Таблица4[[#This Row],[Газпром цена]]*1000</f>
        <v>138900</v>
      </c>
      <c r="N29" s="2">
        <v>718069290</v>
      </c>
      <c r="O29" s="3">
        <f>LN(Таблица4[[#This Row],[Газпром объем]])</f>
        <v>20.392076626534543</v>
      </c>
      <c r="P29" s="4">
        <f>(Таблица4[[#This Row],[Газпром цена]]-L28)/L28</f>
        <v>-9.1860084995096333E-2</v>
      </c>
    </row>
    <row r="30" spans="1:16" x14ac:dyDescent="0.2">
      <c r="A30" s="1">
        <v>42095</v>
      </c>
      <c r="B30" s="3">
        <v>6.5500000000000003E-2</v>
      </c>
      <c r="C30" s="2">
        <v>670781500000</v>
      </c>
      <c r="D30" s="2">
        <f>Таблица1[[#This Row],[Втб ао цена]]*1000</f>
        <v>65.5</v>
      </c>
      <c r="E30" s="4">
        <f>(Таблица1[[#This Row],[Втб ао цена]]-B29)/B29</f>
        <v>9.1666666666666757E-2</v>
      </c>
      <c r="F30" s="3">
        <f>LN(Таблица1[[#This Row],[Втб ао объем]])</f>
        <v>27.231709287505019</v>
      </c>
      <c r="G30" s="3">
        <v>76.900000000000006</v>
      </c>
      <c r="H30" s="2">
        <v>3217030850</v>
      </c>
      <c r="I30" s="2">
        <f>Таблица4[[#This Row],[Сбербанк цена]]*1000</f>
        <v>76900</v>
      </c>
      <c r="J30" s="4">
        <f>(Таблица4[[#This Row],[Сбербанк цена]]-G29)/G29</f>
        <v>0.22296437659033083</v>
      </c>
      <c r="K30" s="3">
        <f>LN(Таблица4[[#This Row],[Сбербанк объем]])</f>
        <v>21.891724674837146</v>
      </c>
      <c r="L30" s="3">
        <v>153.5</v>
      </c>
      <c r="M30" s="3">
        <f>Таблица4[[#This Row],[Газпром цена]]*1000</f>
        <v>153500</v>
      </c>
      <c r="N30" s="2">
        <v>821523460</v>
      </c>
      <c r="O30" s="3">
        <f>LN(Таблица4[[#This Row],[Газпром объем]])</f>
        <v>20.526671052550576</v>
      </c>
      <c r="P30" s="4">
        <f>(Таблица4[[#This Row],[Газпром цена]]-L29)/L29</f>
        <v>0.10511159107271414</v>
      </c>
    </row>
    <row r="31" spans="1:16" x14ac:dyDescent="0.2">
      <c r="A31" s="1">
        <v>42125</v>
      </c>
      <c r="B31" s="3">
        <v>8.0250000000000002E-2</v>
      </c>
      <c r="C31" s="2">
        <v>1045976670000</v>
      </c>
      <c r="D31" s="2">
        <f>Таблица1[[#This Row],[Втб ао цена]]*1000</f>
        <v>80.25</v>
      </c>
      <c r="E31" s="4">
        <f>(Таблица1[[#This Row],[Втб ао цена]]-B30)/B30</f>
        <v>0.22519083969465647</v>
      </c>
      <c r="F31" s="3">
        <f>LN(Таблица1[[#This Row],[Втб ао объем]])</f>
        <v>27.675972177307244</v>
      </c>
      <c r="G31" s="3">
        <v>73.5</v>
      </c>
      <c r="H31" s="2">
        <v>1830904250</v>
      </c>
      <c r="I31" s="2">
        <f>Таблица4[[#This Row],[Сбербанк цена]]*1000</f>
        <v>73500</v>
      </c>
      <c r="J31" s="4">
        <f>(Таблица4[[#This Row],[Сбербанк цена]]-G30)/G30</f>
        <v>-4.4213263979193826E-2</v>
      </c>
      <c r="K31" s="3">
        <f>LN(Таблица4[[#This Row],[Сбербанк объем]])</f>
        <v>21.328075807442907</v>
      </c>
      <c r="L31" s="3">
        <v>139</v>
      </c>
      <c r="M31" s="3">
        <f>Таблица4[[#This Row],[Газпром цена]]*1000</f>
        <v>139000</v>
      </c>
      <c r="N31" s="2">
        <v>472091480</v>
      </c>
      <c r="O31" s="3">
        <f>LN(Таблица4[[#This Row],[Газпром объем]])</f>
        <v>19.97268333832973</v>
      </c>
      <c r="P31" s="4">
        <f>(Таблица4[[#This Row],[Газпром цена]]-L30)/L30</f>
        <v>-9.4462540716612378E-2</v>
      </c>
    </row>
    <row r="32" spans="1:16" x14ac:dyDescent="0.2">
      <c r="A32" s="1">
        <v>42156</v>
      </c>
      <c r="B32" s="3">
        <v>7.9000000000000001E-2</v>
      </c>
      <c r="C32" s="2">
        <v>757627400000</v>
      </c>
      <c r="D32" s="2">
        <f>Таблица1[[#This Row],[Втб ао цена]]*1000</f>
        <v>79</v>
      </c>
      <c r="E32" s="4">
        <f>(Таблица1[[#This Row],[Втб ао цена]]-B31)/B31</f>
        <v>-1.5576323987538955E-2</v>
      </c>
      <c r="F32" s="3">
        <f>LN(Таблица1[[#This Row],[Втб ао объем]])</f>
        <v>27.353457545006936</v>
      </c>
      <c r="G32" s="3">
        <v>72.349999999999994</v>
      </c>
      <c r="H32" s="2">
        <v>1885405260</v>
      </c>
      <c r="I32" s="2">
        <f>Таблица4[[#This Row],[Сбербанк цена]]*1000</f>
        <v>72350</v>
      </c>
      <c r="J32" s="4">
        <f>(Таблица4[[#This Row],[Сбербанк цена]]-G31)/G31</f>
        <v>-1.5646258503401438E-2</v>
      </c>
      <c r="K32" s="3">
        <f>LN(Таблица4[[#This Row],[Сбербанк объем]])</f>
        <v>21.35740862678135</v>
      </c>
      <c r="L32" s="3">
        <v>145.85</v>
      </c>
      <c r="M32" s="3">
        <f>Таблица4[[#This Row],[Газпром цена]]*1000</f>
        <v>145850</v>
      </c>
      <c r="N32" s="2">
        <v>533051950</v>
      </c>
      <c r="O32" s="3">
        <f>LN(Таблица4[[#This Row],[Газпром объем]])</f>
        <v>20.094129444547484</v>
      </c>
      <c r="P32" s="4">
        <f>(Таблица4[[#This Row],[Газпром цена]]-L31)/L31</f>
        <v>4.9280575539568307E-2</v>
      </c>
    </row>
    <row r="33" spans="1:16" x14ac:dyDescent="0.2">
      <c r="A33" s="1">
        <v>42186</v>
      </c>
      <c r="B33" s="3">
        <v>7.1999999999999995E-2</v>
      </c>
      <c r="C33" s="2">
        <v>355294170000</v>
      </c>
      <c r="D33" s="2">
        <f>Таблица1[[#This Row],[Втб ао цена]]*1000</f>
        <v>72</v>
      </c>
      <c r="E33" s="4">
        <f>(Таблица1[[#This Row],[Втб ао цена]]-B32)/B32</f>
        <v>-8.8607594936708944E-2</v>
      </c>
      <c r="F33" s="3">
        <f>LN(Таблица1[[#This Row],[Втб ао объем]])</f>
        <v>26.596211931170039</v>
      </c>
      <c r="G33" s="3">
        <v>72.3</v>
      </c>
      <c r="H33" s="2">
        <v>2690621070</v>
      </c>
      <c r="I33" s="2">
        <f>Таблица4[[#This Row],[Сбербанк цена]]*1000</f>
        <v>72300</v>
      </c>
      <c r="J33" s="4">
        <f>(Таблица4[[#This Row],[Сбербанк цена]]-G32)/G32</f>
        <v>-6.9108500345538575E-4</v>
      </c>
      <c r="K33" s="3">
        <f>LN(Таблица4[[#This Row],[Сбербанк объем]])</f>
        <v>21.713037884952126</v>
      </c>
      <c r="L33" s="3">
        <v>142.5</v>
      </c>
      <c r="M33" s="3">
        <f>Таблица4[[#This Row],[Газпром цена]]*1000</f>
        <v>142500</v>
      </c>
      <c r="N33" s="2">
        <v>543868920</v>
      </c>
      <c r="O33" s="3">
        <f>LN(Таблица4[[#This Row],[Газпром объем]])</f>
        <v>20.114218819903332</v>
      </c>
      <c r="P33" s="4">
        <f>(Таблица4[[#This Row],[Газпром цена]]-L32)/L32</f>
        <v>-2.2968803565306783E-2</v>
      </c>
    </row>
    <row r="34" spans="1:16" x14ac:dyDescent="0.2">
      <c r="A34" s="1">
        <v>42217</v>
      </c>
      <c r="B34" s="3">
        <v>6.9000000000000006E-2</v>
      </c>
      <c r="C34" s="2">
        <v>297785390000</v>
      </c>
      <c r="D34" s="2">
        <f>Таблица1[[#This Row],[Втб ао цена]]*1000</f>
        <v>69</v>
      </c>
      <c r="E34" s="4">
        <f>(Таблица1[[#This Row],[Втб ао цена]]-B33)/B33</f>
        <v>-4.1666666666666512E-2</v>
      </c>
      <c r="F34" s="3">
        <f>LN(Таблица1[[#This Row],[Втб ао объем]])</f>
        <v>26.419638896221191</v>
      </c>
      <c r="G34" s="3">
        <v>74.5</v>
      </c>
      <c r="H34" s="2">
        <v>2488111940</v>
      </c>
      <c r="I34" s="2">
        <f>Таблица4[[#This Row],[Сбербанк цена]]*1000</f>
        <v>74500</v>
      </c>
      <c r="J34" s="4">
        <f>(Таблица4[[#This Row],[Сбербанк цена]]-G33)/G33</f>
        <v>3.0428769017980677E-2</v>
      </c>
      <c r="K34" s="3">
        <f>LN(Таблица4[[#This Row],[Сбербанк объем]])</f>
        <v>21.63479000277265</v>
      </c>
      <c r="L34" s="3">
        <v>148.19</v>
      </c>
      <c r="M34" s="3">
        <f>Таблица4[[#This Row],[Газпром цена]]*1000</f>
        <v>148190</v>
      </c>
      <c r="N34" s="2">
        <v>654231910</v>
      </c>
      <c r="O34" s="3">
        <f>LN(Таблица4[[#This Row],[Газпром объем]])</f>
        <v>20.298972449011366</v>
      </c>
      <c r="P34" s="4">
        <f>(Таблица4[[#This Row],[Газпром цена]]-L33)/L33</f>
        <v>3.9929824561403496E-2</v>
      </c>
    </row>
    <row r="35" spans="1:16" x14ac:dyDescent="0.2">
      <c r="A35" s="1">
        <v>42248</v>
      </c>
      <c r="B35" s="3">
        <v>6.7699999999999996E-2</v>
      </c>
      <c r="C35" s="2">
        <v>288953870000</v>
      </c>
      <c r="D35" s="2">
        <f>Таблица1[[#This Row],[Втб ао цена]]*1000</f>
        <v>67.7</v>
      </c>
      <c r="E35" s="4">
        <f>(Таблица1[[#This Row],[Втб ао цена]]-B34)/B34</f>
        <v>-1.8840579710145064E-2</v>
      </c>
      <c r="F35" s="3">
        <f>LN(Таблица1[[#This Row],[Втб ао объем]])</f>
        <v>26.389532892941151</v>
      </c>
      <c r="G35" s="3">
        <v>75.3</v>
      </c>
      <c r="H35" s="2">
        <v>2008042110</v>
      </c>
      <c r="I35" s="2">
        <f>Таблица4[[#This Row],[Сбербанк цена]]*1000</f>
        <v>75300</v>
      </c>
      <c r="J35" s="4">
        <f>(Таблица4[[#This Row],[Сбербанк цена]]-G34)/G34</f>
        <v>1.0738255033557008E-2</v>
      </c>
      <c r="K35" s="3">
        <f>LN(Таблица4[[#This Row],[Сбербанк объем]])</f>
        <v>21.420426009671541</v>
      </c>
      <c r="L35" s="3">
        <v>134.55000000000001</v>
      </c>
      <c r="M35" s="3">
        <f>Таблица4[[#This Row],[Газпром цена]]*1000</f>
        <v>134550</v>
      </c>
      <c r="N35" s="2">
        <v>646257900</v>
      </c>
      <c r="O35" s="3">
        <f>LN(Таблица4[[#This Row],[Газпром объем]])</f>
        <v>20.286709208083568</v>
      </c>
      <c r="P35" s="4">
        <f>(Таблица4[[#This Row],[Газпром цена]]-L34)/L34</f>
        <v>-9.2043997570686195E-2</v>
      </c>
    </row>
    <row r="36" spans="1:16" x14ac:dyDescent="0.2">
      <c r="A36" s="1">
        <v>42278</v>
      </c>
      <c r="B36" s="3">
        <v>7.2349999999999998E-2</v>
      </c>
      <c r="C36" s="2">
        <v>406369030000</v>
      </c>
      <c r="D36" s="2">
        <f>Таблица1[[#This Row],[Втб ао цена]]*1000</f>
        <v>72.349999999999994</v>
      </c>
      <c r="E36" s="4">
        <f>(Таблица1[[#This Row],[Втб ао цена]]-B35)/B35</f>
        <v>6.8685376661743014E-2</v>
      </c>
      <c r="F36" s="3">
        <f>LN(Таблица1[[#This Row],[Втб ао объем]])</f>
        <v>26.730527524598219</v>
      </c>
      <c r="G36" s="3">
        <v>90.53</v>
      </c>
      <c r="H36" s="2">
        <v>2849625200</v>
      </c>
      <c r="I36" s="2">
        <f>Таблица4[[#This Row],[Сбербанк цена]]*1000</f>
        <v>90530</v>
      </c>
      <c r="J36" s="4">
        <f>(Таблица4[[#This Row],[Сбербанк цена]]-G35)/G35</f>
        <v>0.20225763612217801</v>
      </c>
      <c r="K36" s="3">
        <f>LN(Таблица4[[#This Row],[Сбербанк объем]])</f>
        <v>21.770453313807003</v>
      </c>
      <c r="L36" s="3">
        <v>135.75</v>
      </c>
      <c r="M36" s="3">
        <f>Таблица4[[#This Row],[Газпром цена]]*1000</f>
        <v>135750</v>
      </c>
      <c r="N36" s="2">
        <v>727388150</v>
      </c>
      <c r="O36" s="3">
        <f>LN(Таблица4[[#This Row],[Газпром объем]])</f>
        <v>20.404970799485373</v>
      </c>
      <c r="P36" s="4">
        <f>(Таблица4[[#This Row],[Газпром цена]]-L35)/L35</f>
        <v>8.918617614269703E-3</v>
      </c>
    </row>
    <row r="37" spans="1:16" x14ac:dyDescent="0.2">
      <c r="A37" s="1">
        <v>42309</v>
      </c>
      <c r="B37" s="3">
        <v>7.0999999999999994E-2</v>
      </c>
      <c r="C37" s="2">
        <v>293559920000</v>
      </c>
      <c r="D37" s="2">
        <f>Таблица1[[#This Row],[Втб ао цена]]*1000</f>
        <v>71</v>
      </c>
      <c r="E37" s="4">
        <f>(Таблица1[[#This Row],[Втб ао цена]]-B36)/B36</f>
        <v>-1.865929509329653E-2</v>
      </c>
      <c r="F37" s="3">
        <f>LN(Таблица1[[#This Row],[Втб ао объем]])</f>
        <v>26.405347612106546</v>
      </c>
      <c r="G37" s="3">
        <v>102.9</v>
      </c>
      <c r="H37" s="2">
        <v>2286927960</v>
      </c>
      <c r="I37" s="2">
        <f>Таблица4[[#This Row],[Сбербанк цена]]*1000</f>
        <v>102900</v>
      </c>
      <c r="J37" s="4">
        <f>(Таблица4[[#This Row],[Сбербанк цена]]-G36)/G36</f>
        <v>0.13663978791560813</v>
      </c>
      <c r="K37" s="3">
        <f>LN(Таблица4[[#This Row],[Сбербанк объем]])</f>
        <v>21.550475251709553</v>
      </c>
      <c r="L37" s="3">
        <v>138</v>
      </c>
      <c r="M37" s="3">
        <f>Таблица4[[#This Row],[Газпром цена]]*1000</f>
        <v>138000</v>
      </c>
      <c r="N37" s="2">
        <v>785173850</v>
      </c>
      <c r="O37" s="3">
        <f>LN(Таблица4[[#This Row],[Газпром объем]])</f>
        <v>20.481415716195091</v>
      </c>
      <c r="P37" s="4">
        <f>(Таблица4[[#This Row],[Газпром цена]]-L36)/L36</f>
        <v>1.6574585635359115E-2</v>
      </c>
    </row>
    <row r="38" spans="1:16" x14ac:dyDescent="0.2">
      <c r="A38" s="1">
        <v>42339</v>
      </c>
      <c r="B38" s="3">
        <v>7.9699999999999993E-2</v>
      </c>
      <c r="C38" s="2">
        <v>349150430000</v>
      </c>
      <c r="D38" s="2">
        <f>Таблица1[[#This Row],[Втб ао цена]]*1000</f>
        <v>79.699999999999989</v>
      </c>
      <c r="E38" s="4">
        <f>(Таблица1[[#This Row],[Втб ао цена]]-B37)/B37</f>
        <v>0.12253521126760564</v>
      </c>
      <c r="F38" s="3">
        <f>LN(Таблица1[[#This Row],[Втб ао объем]])</f>
        <v>26.578768697800061</v>
      </c>
      <c r="G38" s="3">
        <v>101.26</v>
      </c>
      <c r="H38" s="2">
        <v>1880909280</v>
      </c>
      <c r="I38" s="2">
        <f>Таблица4[[#This Row],[Сбербанк цена]]*1000</f>
        <v>101260</v>
      </c>
      <c r="J38" s="4">
        <f>(Таблица4[[#This Row],[Сбербанк цена]]-G37)/G37</f>
        <v>-1.5937803692905737E-2</v>
      </c>
      <c r="K38" s="3">
        <f>LN(Таблица4[[#This Row],[Сбербанк объем]])</f>
        <v>21.355021156437147</v>
      </c>
      <c r="L38" s="3">
        <v>136.09</v>
      </c>
      <c r="M38" s="3">
        <f>Таблица4[[#This Row],[Газпром цена]]*1000</f>
        <v>136090</v>
      </c>
      <c r="N38" s="2">
        <v>632658380</v>
      </c>
      <c r="O38" s="3">
        <f>LN(Таблица4[[#This Row],[Газпром объем]])</f>
        <v>20.265441150382365</v>
      </c>
      <c r="P38" s="4">
        <f>(Таблица4[[#This Row],[Газпром цена]]-L37)/L37</f>
        <v>-1.3840579710144903E-2</v>
      </c>
    </row>
    <row r="39" spans="1:16" x14ac:dyDescent="0.2">
      <c r="A39" s="1">
        <v>42370</v>
      </c>
      <c r="B39" s="3">
        <v>7.3700000000000002E-2</v>
      </c>
      <c r="C39" s="2">
        <v>393514230000</v>
      </c>
      <c r="D39" s="2">
        <f>Таблица1[[#This Row],[Втб ао цена]]*1000</f>
        <v>73.7</v>
      </c>
      <c r="E39" s="4">
        <f>(Таблица1[[#This Row],[Втб ао цена]]-B38)/B38</f>
        <v>-7.5282308657465394E-2</v>
      </c>
      <c r="F39" s="3">
        <f>LN(Таблица1[[#This Row],[Втб ао объем]])</f>
        <v>26.698383066792964</v>
      </c>
      <c r="G39" s="3">
        <v>96.5</v>
      </c>
      <c r="H39" s="2">
        <v>2060145470</v>
      </c>
      <c r="I39" s="2">
        <f>Таблица4[[#This Row],[Сбербанк цена]]*1000</f>
        <v>96500</v>
      </c>
      <c r="J39" s="4">
        <f>(Таблица4[[#This Row],[Сбербанк цена]]-G38)/G38</f>
        <v>-4.7007702942919269E-2</v>
      </c>
      <c r="K39" s="3">
        <f>LN(Таблица4[[#This Row],[Сбербанк объем]])</f>
        <v>21.446042433759526</v>
      </c>
      <c r="L39" s="3">
        <v>136.6</v>
      </c>
      <c r="M39" s="3">
        <f>Таблица4[[#This Row],[Газпром цена]]*1000</f>
        <v>136600</v>
      </c>
      <c r="N39" s="2">
        <v>614480400</v>
      </c>
      <c r="O39" s="3">
        <f>LN(Таблица4[[#This Row],[Газпром объем]])</f>
        <v>20.236287590611397</v>
      </c>
      <c r="P39" s="4">
        <f>(Таблица4[[#This Row],[Газпром цена]]-L38)/L38</f>
        <v>3.7475200235137841E-3</v>
      </c>
    </row>
    <row r="40" spans="1:16" x14ac:dyDescent="0.2">
      <c r="A40" s="1">
        <v>42401</v>
      </c>
      <c r="B40" s="3">
        <v>7.3400000000000007E-2</v>
      </c>
      <c r="C40" s="2">
        <v>284381410000</v>
      </c>
      <c r="D40" s="2">
        <f>Таблица1[[#This Row],[Втб ао цена]]*1000</f>
        <v>73.400000000000006</v>
      </c>
      <c r="E40" s="4">
        <f>(Таблица1[[#This Row],[Втб ао цена]]-B39)/B39</f>
        <v>-4.0705563093622081E-3</v>
      </c>
      <c r="F40" s="3">
        <f>LN(Таблица1[[#This Row],[Втб ао объем]])</f>
        <v>26.373582167056931</v>
      </c>
      <c r="G40" s="3">
        <v>107</v>
      </c>
      <c r="H40" s="2">
        <v>2184006710</v>
      </c>
      <c r="I40" s="2">
        <f>Таблица4[[#This Row],[Сбербанк цена]]*1000</f>
        <v>107000</v>
      </c>
      <c r="J40" s="4">
        <f>(Таблица4[[#This Row],[Сбербанк цена]]-G39)/G39</f>
        <v>0.10880829015544041</v>
      </c>
      <c r="K40" s="3">
        <f>LN(Таблица4[[#This Row],[Сбербанк объем]])</f>
        <v>21.504426967168673</v>
      </c>
      <c r="L40" s="3">
        <v>141.4</v>
      </c>
      <c r="M40" s="3">
        <f>Таблица4[[#This Row],[Газпром цена]]*1000</f>
        <v>141400</v>
      </c>
      <c r="N40" s="2">
        <v>642613120</v>
      </c>
      <c r="O40" s="3">
        <f>LN(Таблица4[[#This Row],[Газпром объем]])</f>
        <v>20.281053421493318</v>
      </c>
      <c r="P40" s="4">
        <f>(Таблица4[[#This Row],[Газпром цена]]-L39)/L39</f>
        <v>3.5139092240117215E-2</v>
      </c>
    </row>
    <row r="41" spans="1:16" x14ac:dyDescent="0.2">
      <c r="A41" s="1">
        <v>42430</v>
      </c>
      <c r="B41" s="3">
        <v>7.6679999999999998E-2</v>
      </c>
      <c r="C41" s="2">
        <v>303739850000</v>
      </c>
      <c r="D41" s="2">
        <f>Таблица1[[#This Row],[Втб ао цена]]*1000</f>
        <v>76.679999999999993</v>
      </c>
      <c r="E41" s="4">
        <f>(Таблица1[[#This Row],[Втб ао цена]]-B40)/B40</f>
        <v>4.4686648501362274E-2</v>
      </c>
      <c r="F41" s="3">
        <f>LN(Таблица1[[#This Row],[Втб ао объем]])</f>
        <v>26.439437415404996</v>
      </c>
      <c r="G41" s="3">
        <v>109.9</v>
      </c>
      <c r="H41" s="2">
        <v>1959737430</v>
      </c>
      <c r="I41" s="2">
        <f>Таблица4[[#This Row],[Сбербанк цена]]*1000</f>
        <v>109900</v>
      </c>
      <c r="J41" s="4">
        <f>(Таблица4[[#This Row],[Сбербанк цена]]-G40)/G40</f>
        <v>2.7102803738317811E-2</v>
      </c>
      <c r="K41" s="3">
        <f>LN(Таблица4[[#This Row],[Сбербанк объем]])</f>
        <v>21.396076336929106</v>
      </c>
      <c r="L41" s="3">
        <v>147.75</v>
      </c>
      <c r="M41" s="3">
        <f>Таблица4[[#This Row],[Газпром цена]]*1000</f>
        <v>147750</v>
      </c>
      <c r="N41" s="2">
        <v>731620780</v>
      </c>
      <c r="O41" s="3">
        <f>LN(Таблица4[[#This Row],[Газпром объем]])</f>
        <v>20.410772877576793</v>
      </c>
      <c r="P41" s="4">
        <f>(Таблица4[[#This Row],[Газпром цена]]-L40)/L40</f>
        <v>4.4908062234794863E-2</v>
      </c>
    </row>
    <row r="42" spans="1:16" x14ac:dyDescent="0.2">
      <c r="A42" s="1">
        <v>42461</v>
      </c>
      <c r="B42" s="3">
        <v>7.0050000000000001E-2</v>
      </c>
      <c r="C42" s="2">
        <v>351481170000</v>
      </c>
      <c r="D42" s="2">
        <f>Таблица1[[#This Row],[Втб ао цена]]*1000</f>
        <v>70.05</v>
      </c>
      <c r="E42" s="4">
        <f>(Таблица1[[#This Row],[Втб ао цена]]-B41)/B41</f>
        <v>-8.6463223787167406E-2</v>
      </c>
      <c r="F42" s="3">
        <f>LN(Таблица1[[#This Row],[Втб ао объем]])</f>
        <v>26.585421976349668</v>
      </c>
      <c r="G42" s="3">
        <v>123.55</v>
      </c>
      <c r="H42" s="2">
        <v>2125196160</v>
      </c>
      <c r="I42" s="2">
        <f>Таблица4[[#This Row],[Сбербанк цена]]*1000</f>
        <v>123550</v>
      </c>
      <c r="J42" s="4">
        <f>(Таблица4[[#This Row],[Сбербанк цена]]-G41)/G41</f>
        <v>0.12420382165605087</v>
      </c>
      <c r="K42" s="3">
        <f>LN(Таблица4[[#This Row],[Сбербанк объем]])</f>
        <v>21.477129945650667</v>
      </c>
      <c r="L42" s="3">
        <v>168.47</v>
      </c>
      <c r="M42" s="3">
        <f>Таблица4[[#This Row],[Газпром цена]]*1000</f>
        <v>168470</v>
      </c>
      <c r="N42" s="2">
        <v>941606540</v>
      </c>
      <c r="O42" s="3">
        <f>LN(Таблица4[[#This Row],[Газпром объем]])</f>
        <v>20.663098059510688</v>
      </c>
      <c r="P42" s="4">
        <f>(Таблица4[[#This Row],[Газпром цена]]-L41)/L41</f>
        <v>0.14023688663282571</v>
      </c>
    </row>
    <row r="43" spans="1:16" x14ac:dyDescent="0.2">
      <c r="A43" s="1">
        <v>42491</v>
      </c>
      <c r="B43" s="3">
        <v>6.8400000000000002E-2</v>
      </c>
      <c r="C43" s="2">
        <v>274461660000</v>
      </c>
      <c r="D43" s="2">
        <f>Таблица1[[#This Row],[Втб ао цена]]*1000</f>
        <v>68.400000000000006</v>
      </c>
      <c r="E43" s="4">
        <f>(Таблица1[[#This Row],[Втб ао цена]]-B42)/B42</f>
        <v>-2.3554603854389702E-2</v>
      </c>
      <c r="F43" s="3">
        <f>LN(Таблица1[[#This Row],[Втб ао объем]])</f>
        <v>26.338077416009789</v>
      </c>
      <c r="G43" s="3">
        <v>132.56</v>
      </c>
      <c r="H43" s="2">
        <v>1387771330</v>
      </c>
      <c r="I43" s="2">
        <f>Таблица4[[#This Row],[Сбербанк цена]]*1000</f>
        <v>132560</v>
      </c>
      <c r="J43" s="4">
        <f>(Таблица4[[#This Row],[Сбербанк цена]]-G42)/G42</f>
        <v>7.2925940914609508E-2</v>
      </c>
      <c r="K43" s="3">
        <f>LN(Таблица4[[#This Row],[Сбербанк объем]])</f>
        <v>21.050964937619991</v>
      </c>
      <c r="L43" s="3">
        <v>145.5</v>
      </c>
      <c r="M43" s="3">
        <f>Таблица4[[#This Row],[Газпром цена]]*1000</f>
        <v>145500</v>
      </c>
      <c r="N43" s="2">
        <v>662677050</v>
      </c>
      <c r="O43" s="3">
        <f>LN(Таблица4[[#This Row],[Газпром объем]])</f>
        <v>20.311798325404009</v>
      </c>
      <c r="P43" s="4">
        <f>(Таблица4[[#This Row],[Газпром цена]]-L42)/L42</f>
        <v>-0.1363447498070873</v>
      </c>
    </row>
    <row r="44" spans="1:16" x14ac:dyDescent="0.2">
      <c r="A44" s="1">
        <v>42522</v>
      </c>
      <c r="B44" s="3">
        <v>6.8000000000000005E-2</v>
      </c>
      <c r="C44" s="2">
        <v>282574220000</v>
      </c>
      <c r="D44" s="2">
        <f>Таблица1[[#This Row],[Втб ао цена]]*1000</f>
        <v>68</v>
      </c>
      <c r="E44" s="4">
        <f>(Таблица1[[#This Row],[Втб ао цена]]-B43)/B43</f>
        <v>-5.8479532163742331E-3</v>
      </c>
      <c r="F44" s="3">
        <f>LN(Таблица1[[#This Row],[Втб ао объем]])</f>
        <v>26.367207078690281</v>
      </c>
      <c r="G44" s="3">
        <v>133</v>
      </c>
      <c r="H44" s="2">
        <v>1550840130</v>
      </c>
      <c r="I44" s="2">
        <f>Таблица4[[#This Row],[Сбербанк цена]]*1000</f>
        <v>133000</v>
      </c>
      <c r="J44" s="4">
        <f>(Таблица4[[#This Row],[Сбербанк цена]]-G43)/G43</f>
        <v>3.3192516596258128E-3</v>
      </c>
      <c r="K44" s="3">
        <f>LN(Таблица4[[#This Row],[Сбербанк объем]])</f>
        <v>21.162062640392971</v>
      </c>
      <c r="L44" s="3">
        <v>139.51</v>
      </c>
      <c r="M44" s="3">
        <f>Таблица4[[#This Row],[Газпром цена]]*1000</f>
        <v>139510</v>
      </c>
      <c r="N44" s="2">
        <v>538549300</v>
      </c>
      <c r="O44" s="3">
        <f>LN(Таблица4[[#This Row],[Газпром объем]])</f>
        <v>20.104389600973747</v>
      </c>
      <c r="P44" s="4">
        <f>(Таблица4[[#This Row],[Газпром цена]]-L43)/L43</f>
        <v>-4.1168384879725149E-2</v>
      </c>
    </row>
    <row r="45" spans="1:16" x14ac:dyDescent="0.2">
      <c r="A45" s="1">
        <v>42552</v>
      </c>
      <c r="B45" s="3">
        <v>6.7409999999999998E-2</v>
      </c>
      <c r="C45" s="2">
        <v>152728630000</v>
      </c>
      <c r="D45" s="2">
        <f>Таблица1[[#This Row],[Втб ао цена]]*1000</f>
        <v>67.41</v>
      </c>
      <c r="E45" s="4">
        <f>(Таблица1[[#This Row],[Втб ао цена]]-B44)/B44</f>
        <v>-8.6764705882354E-3</v>
      </c>
      <c r="F45" s="3">
        <f>LN(Таблица1[[#This Row],[Втб ао объем]])</f>
        <v>25.751928523410619</v>
      </c>
      <c r="G45" s="3">
        <v>139.15</v>
      </c>
      <c r="H45" s="2">
        <v>1224653180</v>
      </c>
      <c r="I45" s="2">
        <f>Таблица4[[#This Row],[Сбербанк цена]]*1000</f>
        <v>139150</v>
      </c>
      <c r="J45" s="4">
        <f>(Таблица4[[#This Row],[Сбербанк цена]]-G44)/G44</f>
        <v>4.6240601503759443E-2</v>
      </c>
      <c r="K45" s="3">
        <f>LN(Таблица4[[#This Row],[Сбербанк объем]])</f>
        <v>20.925923522490184</v>
      </c>
      <c r="L45" s="3">
        <v>137.30000000000001</v>
      </c>
      <c r="M45" s="3">
        <f>Таблица4[[#This Row],[Газпром цена]]*1000</f>
        <v>137300</v>
      </c>
      <c r="N45" s="2">
        <v>505531930</v>
      </c>
      <c r="O45" s="3">
        <f>LN(Таблица4[[#This Row],[Газпром объем]])</f>
        <v>20.041121759612953</v>
      </c>
      <c r="P45" s="4">
        <f>(Таблица4[[#This Row],[Газпром цена]]-L44)/L44</f>
        <v>-1.5841158339903804E-2</v>
      </c>
    </row>
    <row r="46" spans="1:16" x14ac:dyDescent="0.2">
      <c r="A46" s="1">
        <v>42583</v>
      </c>
      <c r="B46" s="3">
        <v>6.8489999999999995E-2</v>
      </c>
      <c r="C46" s="2">
        <v>225458160000</v>
      </c>
      <c r="D46" s="2">
        <f>Таблица1[[#This Row],[Втб ао цена]]*1000</f>
        <v>68.489999999999995</v>
      </c>
      <c r="E46" s="4">
        <f>(Таблица1[[#This Row],[Втб ао цена]]-B45)/B45</f>
        <v>1.6021361815754306E-2</v>
      </c>
      <c r="F46" s="3">
        <f>LN(Таблица1[[#This Row],[Втб ао объем]])</f>
        <v>26.141400435436619</v>
      </c>
      <c r="G46" s="3">
        <v>143.5</v>
      </c>
      <c r="H46" s="2">
        <v>1150874110</v>
      </c>
      <c r="I46" s="2">
        <f>Таблица4[[#This Row],[Сбербанк цена]]*1000</f>
        <v>143500</v>
      </c>
      <c r="J46" s="4">
        <f>(Таблица4[[#This Row],[Сбербанк цена]]-G45)/G45</f>
        <v>3.1261228889687347E-2</v>
      </c>
      <c r="K46" s="3">
        <f>LN(Таблица4[[#This Row],[Сбербанк объем]])</f>
        <v>20.863787586247341</v>
      </c>
      <c r="L46" s="3">
        <v>134.94999999999999</v>
      </c>
      <c r="M46" s="3">
        <f>Таблица4[[#This Row],[Газпром цена]]*1000</f>
        <v>134950</v>
      </c>
      <c r="N46" s="2">
        <v>472860350</v>
      </c>
      <c r="O46" s="3">
        <f>LN(Таблица4[[#This Row],[Газпром объем]])</f>
        <v>19.97431065973441</v>
      </c>
      <c r="P46" s="4">
        <f>(Таблица4[[#This Row],[Газпром цена]]-L45)/L45</f>
        <v>-1.7115804806992152E-2</v>
      </c>
    </row>
    <row r="47" spans="1:16" x14ac:dyDescent="0.2">
      <c r="A47" s="1">
        <v>42614</v>
      </c>
      <c r="B47" s="3">
        <v>7.2099999999999997E-2</v>
      </c>
      <c r="C47" s="2">
        <v>360228510000</v>
      </c>
      <c r="D47" s="2">
        <f>Таблица1[[#This Row],[Втб ао цена]]*1000</f>
        <v>72.099999999999994</v>
      </c>
      <c r="E47" s="4">
        <f>(Таблица1[[#This Row],[Втб ао цена]]-B46)/B46</f>
        <v>5.2708424587531062E-2</v>
      </c>
      <c r="F47" s="3">
        <f>LN(Таблица1[[#This Row],[Втб ао объем]])</f>
        <v>26.610004417027994</v>
      </c>
      <c r="G47" s="3">
        <v>145.34</v>
      </c>
      <c r="H47" s="2">
        <v>1118608200</v>
      </c>
      <c r="I47" s="2">
        <f>Таблица4[[#This Row],[Сбербанк цена]]*1000</f>
        <v>145340</v>
      </c>
      <c r="J47" s="4">
        <f>(Таблица4[[#This Row],[Сбербанк цена]]-G46)/G46</f>
        <v>1.2822299651567969E-2</v>
      </c>
      <c r="K47" s="3">
        <f>LN(Таблица4[[#This Row],[Сбербанк объем]])</f>
        <v>20.835351070916705</v>
      </c>
      <c r="L47" s="3">
        <v>134.9</v>
      </c>
      <c r="M47" s="3">
        <f>Таблица4[[#This Row],[Газпром цена]]*1000</f>
        <v>134900</v>
      </c>
      <c r="N47" s="2">
        <v>567536440</v>
      </c>
      <c r="O47" s="3">
        <f>LN(Таблица4[[#This Row],[Газпром объем]])</f>
        <v>20.156815516712108</v>
      </c>
      <c r="P47" s="4">
        <f>(Таблица4[[#This Row],[Газпром цена]]-L46)/L46</f>
        <v>-3.705075954055795E-4</v>
      </c>
    </row>
    <row r="48" spans="1:16" x14ac:dyDescent="0.2">
      <c r="A48" s="1">
        <v>42644</v>
      </c>
      <c r="B48" s="3">
        <v>6.7750000000000005E-2</v>
      </c>
      <c r="C48" s="2">
        <v>159481010000</v>
      </c>
      <c r="D48" s="2">
        <f>Таблица1[[#This Row],[Втб ао цена]]*1000</f>
        <v>67.75</v>
      </c>
      <c r="E48" s="4">
        <f>(Таблица1[[#This Row],[Втб ао цена]]-B47)/B47</f>
        <v>-6.0332871012482567E-2</v>
      </c>
      <c r="F48" s="3">
        <f>LN(Таблица1[[#This Row],[Втб ао объем]])</f>
        <v>25.795190692522031</v>
      </c>
      <c r="G48" s="3">
        <v>147.4</v>
      </c>
      <c r="H48" s="2">
        <v>777345030</v>
      </c>
      <c r="I48" s="2">
        <f>Таблица4[[#This Row],[Сбербанк цена]]*1000</f>
        <v>147400</v>
      </c>
      <c r="J48" s="4">
        <f>(Таблица4[[#This Row],[Сбербанк цена]]-G47)/G47</f>
        <v>1.417366175863494E-2</v>
      </c>
      <c r="K48" s="3">
        <f>LN(Таблица4[[#This Row],[Сбербанк объем]])</f>
        <v>20.47139486382315</v>
      </c>
      <c r="L48" s="3">
        <v>138.84</v>
      </c>
      <c r="M48" s="3">
        <f>Таблица4[[#This Row],[Газпром цена]]*1000</f>
        <v>138840</v>
      </c>
      <c r="N48" s="2">
        <v>409341480</v>
      </c>
      <c r="O48" s="3">
        <f>LN(Таблица4[[#This Row],[Газпром объем]])</f>
        <v>19.830060280085334</v>
      </c>
      <c r="P48" s="4">
        <f>(Таблица4[[#This Row],[Газпром цена]]-L47)/L47</f>
        <v>2.9206819866567809E-2</v>
      </c>
    </row>
    <row r="49" spans="1:16" x14ac:dyDescent="0.2">
      <c r="A49" s="1">
        <v>42675</v>
      </c>
      <c r="B49" s="3">
        <v>6.9400000000000003E-2</v>
      </c>
      <c r="C49" s="2">
        <v>234598360000</v>
      </c>
      <c r="D49" s="2">
        <f>Таблица1[[#This Row],[Втб ао цена]]*1000</f>
        <v>69.400000000000006</v>
      </c>
      <c r="E49" s="4">
        <f>(Таблица1[[#This Row],[Втб ао цена]]-B48)/B48</f>
        <v>2.4354243542435403E-2</v>
      </c>
      <c r="F49" s="3">
        <f>LN(Таблица1[[#This Row],[Втб ао объем]])</f>
        <v>26.181140782519016</v>
      </c>
      <c r="G49" s="3">
        <v>158.69999999999999</v>
      </c>
      <c r="H49" s="2">
        <v>1113951960</v>
      </c>
      <c r="I49" s="2">
        <f>Таблица4[[#This Row],[Сбербанк цена]]*1000</f>
        <v>158700</v>
      </c>
      <c r="J49" s="4">
        <f>(Таблица4[[#This Row],[Сбербанк цена]]-G48)/G48</f>
        <v>7.6662143826322818E-2</v>
      </c>
      <c r="K49" s="3">
        <f>LN(Таблица4[[#This Row],[Сбербанк объем]])</f>
        <v>20.831179853643725</v>
      </c>
      <c r="L49" s="3">
        <v>148.80000000000001</v>
      </c>
      <c r="M49" s="3">
        <f>Таблица4[[#This Row],[Газпром цена]]*1000</f>
        <v>148800</v>
      </c>
      <c r="N49" s="2">
        <v>735320710</v>
      </c>
      <c r="O49" s="3">
        <f>LN(Таблица4[[#This Row],[Газпром объем]])</f>
        <v>20.41581730214449</v>
      </c>
      <c r="P49" s="4">
        <f>(Таблица4[[#This Row],[Газпром цена]]-L48)/L48</f>
        <v>7.1737251512532463E-2</v>
      </c>
    </row>
    <row r="50" spans="1:16" x14ac:dyDescent="0.2">
      <c r="A50" s="1">
        <v>42705</v>
      </c>
      <c r="B50" s="3">
        <v>7.3999999999999996E-2</v>
      </c>
      <c r="C50" s="2">
        <v>553056090000</v>
      </c>
      <c r="D50" s="2">
        <f>Таблица1[[#This Row],[Втб ао цена]]*1000</f>
        <v>74</v>
      </c>
      <c r="E50" s="4">
        <f>(Таблица1[[#This Row],[Втб ао цена]]-B49)/B49</f>
        <v>6.6282420749279439E-2</v>
      </c>
      <c r="F50" s="3">
        <f>LN(Таблица1[[#This Row],[Втб ао объем]])</f>
        <v>27.038725261896644</v>
      </c>
      <c r="G50" s="3">
        <v>173.25</v>
      </c>
      <c r="H50" s="2">
        <v>1204467020</v>
      </c>
      <c r="I50" s="2">
        <f>Таблица4[[#This Row],[Сбербанк цена]]*1000</f>
        <v>173250</v>
      </c>
      <c r="J50" s="4">
        <f>(Таблица4[[#This Row],[Сбербанк цена]]-G49)/G49</f>
        <v>9.1682419659735434E-2</v>
      </c>
      <c r="K50" s="3">
        <f>LN(Таблица4[[#This Row],[Сбербанк объем]])</f>
        <v>20.909302998988469</v>
      </c>
      <c r="L50" s="3">
        <v>154.55000000000001</v>
      </c>
      <c r="M50" s="3">
        <f>Таблица4[[#This Row],[Газпром цена]]*1000</f>
        <v>154550</v>
      </c>
      <c r="N50" s="2">
        <v>680484920</v>
      </c>
      <c r="O50" s="3">
        <f>LN(Таблица4[[#This Row],[Газпром объем]])</f>
        <v>20.338316219633914</v>
      </c>
      <c r="P50" s="4">
        <f>(Таблица4[[#This Row],[Газпром цена]]-L49)/L49</f>
        <v>3.864247311827957E-2</v>
      </c>
    </row>
    <row r="51" spans="1:16" x14ac:dyDescent="0.2">
      <c r="A51" s="1">
        <v>42736</v>
      </c>
      <c r="B51" s="3">
        <v>6.8970000000000004E-2</v>
      </c>
      <c r="C51" s="2">
        <v>300093660000</v>
      </c>
      <c r="D51" s="2">
        <f>Таблица1[[#This Row],[Втб ао цена]]*1000</f>
        <v>68.97</v>
      </c>
      <c r="E51" s="4">
        <f>(Таблица1[[#This Row],[Втб ао цена]]-B50)/B50</f>
        <v>-6.7972972972972875E-2</v>
      </c>
      <c r="F51" s="3">
        <f>LN(Таблица1[[#This Row],[Втб ао объем]])</f>
        <v>26.427360462878333</v>
      </c>
      <c r="G51" s="3">
        <v>172.2</v>
      </c>
      <c r="H51" s="2">
        <v>989614480</v>
      </c>
      <c r="I51" s="2">
        <f>Таблица4[[#This Row],[Сбербанк цена]]*1000</f>
        <v>172200</v>
      </c>
      <c r="J51" s="4">
        <f>(Таблица4[[#This Row],[Сбербанк цена]]-G50)/G50</f>
        <v>-6.0606060606061265E-3</v>
      </c>
      <c r="K51" s="3">
        <f>LN(Таблица4[[#This Row],[Сбербанк объем]])</f>
        <v>20.712826011110121</v>
      </c>
      <c r="L51" s="3">
        <v>149.80000000000001</v>
      </c>
      <c r="M51" s="3">
        <f>Таблица4[[#This Row],[Газпром цена]]*1000</f>
        <v>149800</v>
      </c>
      <c r="N51" s="2">
        <v>508472070</v>
      </c>
      <c r="O51" s="3">
        <f>LN(Таблица4[[#This Row],[Газпром объем]])</f>
        <v>20.0469208456907</v>
      </c>
      <c r="P51" s="4">
        <f>(Таблица4[[#This Row],[Газпром цена]]-L50)/L50</f>
        <v>-3.0734390164995146E-2</v>
      </c>
    </row>
    <row r="52" spans="1:16" x14ac:dyDescent="0.2">
      <c r="A52" s="1">
        <v>42767</v>
      </c>
      <c r="B52" s="3">
        <v>6.608E-2</v>
      </c>
      <c r="C52" s="2">
        <v>136916720000</v>
      </c>
      <c r="D52" s="2">
        <f>Таблица1[[#This Row],[Втб ао цена]]*1000</f>
        <v>66.08</v>
      </c>
      <c r="E52" s="4">
        <f>(Таблица1[[#This Row],[Втб ао цена]]-B51)/B51</f>
        <v>-4.1902276352037165E-2</v>
      </c>
      <c r="F52" s="3">
        <f>LN(Таблица1[[#This Row],[Втб ао объем]])</f>
        <v>25.642638694726948</v>
      </c>
      <c r="G52" s="3">
        <v>156</v>
      </c>
      <c r="H52" s="2">
        <v>817013500</v>
      </c>
      <c r="I52" s="2">
        <f>Таблица4[[#This Row],[Сбербанк цена]]*1000</f>
        <v>156000</v>
      </c>
      <c r="J52" s="4">
        <f>(Таблица4[[#This Row],[Сбербанк цена]]-G51)/G51</f>
        <v>-9.4076655052264743E-2</v>
      </c>
      <c r="K52" s="3">
        <f>LN(Таблица4[[#This Row],[Сбербанк объем]])</f>
        <v>20.521166176555568</v>
      </c>
      <c r="L52" s="3">
        <v>134</v>
      </c>
      <c r="M52" s="3">
        <f>Таблица4[[#This Row],[Газпром цена]]*1000</f>
        <v>134000</v>
      </c>
      <c r="N52" s="2">
        <v>618092220</v>
      </c>
      <c r="O52" s="3">
        <f>LN(Таблица4[[#This Row],[Газпром объем]])</f>
        <v>20.242148227590246</v>
      </c>
      <c r="P52" s="4">
        <f>(Таблица4[[#This Row],[Газпром цена]]-L51)/L51</f>
        <v>-0.10547396528704947</v>
      </c>
    </row>
    <row r="53" spans="1:16" x14ac:dyDescent="0.2">
      <c r="A53" s="1">
        <v>42795</v>
      </c>
      <c r="B53" s="3">
        <v>6.6250000000000003E-2</v>
      </c>
      <c r="C53" s="2">
        <v>266410390000</v>
      </c>
      <c r="D53" s="2">
        <f>Таблица1[[#This Row],[Втб ао цена]]*1000</f>
        <v>66.25</v>
      </c>
      <c r="E53" s="4">
        <f>(Таблица1[[#This Row],[Втб ао цена]]-B52)/B52</f>
        <v>2.5726392251816509E-3</v>
      </c>
      <c r="F53" s="3">
        <f>LN(Таблица1[[#This Row],[Втб ао объем]])</f>
        <v>26.308303776353608</v>
      </c>
      <c r="G53" s="3">
        <v>159.80000000000001</v>
      </c>
      <c r="H53" s="2">
        <v>980688220</v>
      </c>
      <c r="I53" s="2">
        <f>Таблица4[[#This Row],[Сбербанк цена]]*1000</f>
        <v>159800</v>
      </c>
      <c r="J53" s="4">
        <f>(Таблица4[[#This Row],[Сбербанк цена]]-G52)/G52</f>
        <v>2.4358974358974432E-2</v>
      </c>
      <c r="K53" s="3">
        <f>LN(Таблица4[[#This Row],[Сбербанк объем]])</f>
        <v>20.703765148462121</v>
      </c>
      <c r="L53" s="3">
        <v>127.9</v>
      </c>
      <c r="M53" s="3">
        <f>Таблица4[[#This Row],[Газпром цена]]*1000</f>
        <v>127900</v>
      </c>
      <c r="N53" s="2">
        <v>754410290</v>
      </c>
      <c r="O53" s="3">
        <f>LN(Таблица4[[#This Row],[Газпром объем]])</f>
        <v>20.441446929169288</v>
      </c>
      <c r="P53" s="4">
        <f>(Таблица4[[#This Row],[Газпром цена]]-L52)/L52</f>
        <v>-4.5522388059701449E-2</v>
      </c>
    </row>
    <row r="54" spans="1:16" x14ac:dyDescent="0.2">
      <c r="A54" s="1">
        <v>42826</v>
      </c>
      <c r="B54" s="3">
        <v>6.6710000000000005E-2</v>
      </c>
      <c r="C54" s="2">
        <v>207910220000</v>
      </c>
      <c r="D54" s="2">
        <f>Таблица1[[#This Row],[Втб ао цена]]*1000</f>
        <v>66.710000000000008</v>
      </c>
      <c r="E54" s="4">
        <f>(Таблица1[[#This Row],[Втб ао цена]]-B53)/B53</f>
        <v>6.9433962264151255E-3</v>
      </c>
      <c r="F54" s="3">
        <f>LN(Таблица1[[#This Row],[Втб ао объем]])</f>
        <v>26.060372188851311</v>
      </c>
      <c r="G54" s="3">
        <v>165.2</v>
      </c>
      <c r="H54" s="2">
        <v>965518550</v>
      </c>
      <c r="I54" s="2">
        <f>Таблица4[[#This Row],[Сбербанк цена]]*1000</f>
        <v>165200</v>
      </c>
      <c r="J54" s="4">
        <f>(Таблица4[[#This Row],[Сбербанк цена]]-G53)/G53</f>
        <v>3.3792240300375323E-2</v>
      </c>
      <c r="K54" s="3">
        <f>LN(Таблица4[[#This Row],[Сбербанк объем]])</f>
        <v>20.688175872491364</v>
      </c>
      <c r="L54" s="3">
        <v>136.75</v>
      </c>
      <c r="M54" s="3">
        <f>Таблица4[[#This Row],[Газпром цена]]*1000</f>
        <v>136750</v>
      </c>
      <c r="N54" s="2">
        <v>750182400</v>
      </c>
      <c r="O54" s="3">
        <f>LN(Таблица4[[#This Row],[Газпром объем]])</f>
        <v>20.435826934926304</v>
      </c>
      <c r="P54" s="4">
        <f>(Таблица4[[#This Row],[Газпром цена]]-L53)/L53</f>
        <v>6.9194683346364305E-2</v>
      </c>
    </row>
    <row r="55" spans="1:16" x14ac:dyDescent="0.2">
      <c r="A55" s="1">
        <v>42856</v>
      </c>
      <c r="B55" s="3">
        <v>6.615E-2</v>
      </c>
      <c r="C55" s="2">
        <v>168505230000</v>
      </c>
      <c r="D55" s="2">
        <f>Таблица1[[#This Row],[Втб ао цена]]*1000</f>
        <v>66.150000000000006</v>
      </c>
      <c r="E55" s="4">
        <f>(Таблица1[[#This Row],[Втб ао цена]]-B54)/B54</f>
        <v>-8.3945435466947216E-3</v>
      </c>
      <c r="F55" s="3">
        <f>LN(Таблица1[[#This Row],[Втб ао объем]])</f>
        <v>25.85023262483281</v>
      </c>
      <c r="G55" s="3">
        <v>155.93</v>
      </c>
      <c r="H55" s="2">
        <v>825457660</v>
      </c>
      <c r="I55" s="2">
        <f>Таблица4[[#This Row],[Сбербанк цена]]*1000</f>
        <v>155930</v>
      </c>
      <c r="J55" s="4">
        <f>(Таблица4[[#This Row],[Сбербанк цена]]-G54)/G54</f>
        <v>-5.6113801452784398E-2</v>
      </c>
      <c r="K55" s="3">
        <f>LN(Таблица4[[#This Row],[Сбербанк объем]])</f>
        <v>20.531448529881878</v>
      </c>
      <c r="L55" s="3">
        <v>120.28</v>
      </c>
      <c r="M55" s="3">
        <f>Таблица4[[#This Row],[Газпром цена]]*1000</f>
        <v>120280</v>
      </c>
      <c r="N55" s="2">
        <v>683155600</v>
      </c>
      <c r="O55" s="3">
        <f>LN(Таблица4[[#This Row],[Газпром объем]])</f>
        <v>20.342233210036405</v>
      </c>
      <c r="P55" s="4">
        <f>(Таблица4[[#This Row],[Газпром цена]]-L54)/L54</f>
        <v>-0.12043875685557585</v>
      </c>
    </row>
    <row r="56" spans="1:16" x14ac:dyDescent="0.2">
      <c r="A56" s="1">
        <v>42887</v>
      </c>
      <c r="B56" s="3">
        <v>6.4000000000000001E-2</v>
      </c>
      <c r="C56" s="2">
        <v>252186300000</v>
      </c>
      <c r="D56" s="2">
        <f>Таблица1[[#This Row],[Втб ао цена]]*1000</f>
        <v>64</v>
      </c>
      <c r="E56" s="4">
        <f>(Таблица1[[#This Row],[Втб ао цена]]-B55)/B55</f>
        <v>-3.2501889644746776E-2</v>
      </c>
      <c r="F56" s="3">
        <f>LN(Таблица1[[#This Row],[Втб ао объем]])</f>
        <v>26.253433937035044</v>
      </c>
      <c r="G56" s="3">
        <v>145.59</v>
      </c>
      <c r="H56" s="2">
        <v>1249106940</v>
      </c>
      <c r="I56" s="2">
        <f>Таблица4[[#This Row],[Сбербанк цена]]*1000</f>
        <v>145590</v>
      </c>
      <c r="J56" s="4">
        <f>(Таблица4[[#This Row],[Сбербанк цена]]-G55)/G55</f>
        <v>-6.6311806579875607E-2</v>
      </c>
      <c r="K56" s="3">
        <f>LN(Таблица4[[#This Row],[Сбербанк объем]])</f>
        <v>20.945694684921023</v>
      </c>
      <c r="L56" s="3">
        <v>118.49</v>
      </c>
      <c r="M56" s="3">
        <f>Таблица4[[#This Row],[Газпром цена]]*1000</f>
        <v>118490</v>
      </c>
      <c r="N56" s="2">
        <v>682977210</v>
      </c>
      <c r="O56" s="3">
        <f>LN(Таблица4[[#This Row],[Газпром объем]])</f>
        <v>20.341972049482017</v>
      </c>
      <c r="P56" s="4">
        <f>(Таблица4[[#This Row],[Газпром цена]]-L55)/L55</f>
        <v>-1.4881942135018342E-2</v>
      </c>
    </row>
    <row r="57" spans="1:16" x14ac:dyDescent="0.2">
      <c r="A57" s="1">
        <v>42917</v>
      </c>
      <c r="B57" s="3">
        <v>5.969E-2</v>
      </c>
      <c r="C57" s="2">
        <v>179099730000</v>
      </c>
      <c r="D57" s="2">
        <f>Таблица1[[#This Row],[Втб ао цена]]*1000</f>
        <v>59.69</v>
      </c>
      <c r="E57" s="4">
        <f>(Таблица1[[#This Row],[Втб ао цена]]-B56)/B56</f>
        <v>-6.7343750000000022E-2</v>
      </c>
      <c r="F57" s="3">
        <f>LN(Таблица1[[#This Row],[Втб ао объем]])</f>
        <v>25.911208638474253</v>
      </c>
      <c r="G57" s="3">
        <v>164.53</v>
      </c>
      <c r="H57" s="2">
        <v>1056892340</v>
      </c>
      <c r="I57" s="2">
        <f>Таблица4[[#This Row],[Сбербанк цена]]*1000</f>
        <v>164530</v>
      </c>
      <c r="J57" s="4">
        <f>(Таблица4[[#This Row],[Сбербанк цена]]-G56)/G56</f>
        <v>0.13009135242805137</v>
      </c>
      <c r="K57" s="3">
        <f>LN(Таблица4[[#This Row],[Сбербанк объем]])</f>
        <v>20.778598684342374</v>
      </c>
      <c r="L57" s="3">
        <v>116.1</v>
      </c>
      <c r="M57" s="3">
        <f>Таблица4[[#This Row],[Газпром цена]]*1000</f>
        <v>116100</v>
      </c>
      <c r="N57" s="2">
        <v>572372360</v>
      </c>
      <c r="O57" s="3">
        <f>LN(Таблица4[[#This Row],[Газпром объем]])</f>
        <v>20.165300316570118</v>
      </c>
      <c r="P57" s="4">
        <f>(Таблица4[[#This Row],[Газпром цена]]-L56)/L56</f>
        <v>-2.0170478521394215E-2</v>
      </c>
    </row>
    <row r="58" spans="1:16" x14ac:dyDescent="0.2">
      <c r="A58" s="1">
        <v>42948</v>
      </c>
      <c r="B58" s="3">
        <v>6.4560000000000006E-2</v>
      </c>
      <c r="C58" s="2">
        <v>204739850000</v>
      </c>
      <c r="D58" s="2">
        <f>Таблица1[[#This Row],[Втб ао цена]]*1000</f>
        <v>64.56</v>
      </c>
      <c r="E58" s="4">
        <f>(Таблица1[[#This Row],[Втб ао цена]]-B57)/B57</f>
        <v>8.1588205729603056E-2</v>
      </c>
      <c r="F58" s="3">
        <f>LN(Таблица1[[#This Row],[Втб ао объем]])</f>
        <v>26.045005985801254</v>
      </c>
      <c r="G58" s="3">
        <v>183.51</v>
      </c>
      <c r="H58" s="2">
        <v>1066034430</v>
      </c>
      <c r="I58" s="2">
        <f>Таблица4[[#This Row],[Сбербанк цена]]*1000</f>
        <v>183510</v>
      </c>
      <c r="J58" s="4">
        <f>(Таблица4[[#This Row],[Сбербанк цена]]-G57)/G57</f>
        <v>0.1153589011122591</v>
      </c>
      <c r="K58" s="3">
        <f>LN(Таблица4[[#This Row],[Сбербанк объем]])</f>
        <v>20.787211460479931</v>
      </c>
      <c r="L58" s="3">
        <v>117.97</v>
      </c>
      <c r="M58" s="3">
        <f>Таблица4[[#This Row],[Газпром цена]]*1000</f>
        <v>117970</v>
      </c>
      <c r="N58" s="2">
        <v>490084870</v>
      </c>
      <c r="O58" s="3">
        <f>LN(Таблица4[[#This Row],[Газпром объем]])</f>
        <v>20.010089138152484</v>
      </c>
      <c r="P58" s="4">
        <f>(Таблица4[[#This Row],[Газпром цена]]-L57)/L57</f>
        <v>1.6106804478897542E-2</v>
      </c>
    </row>
    <row r="59" spans="1:16" x14ac:dyDescent="0.2">
      <c r="A59" s="1">
        <v>42979</v>
      </c>
      <c r="B59" s="3">
        <v>6.1589999999999999E-2</v>
      </c>
      <c r="C59" s="2">
        <v>293417410000</v>
      </c>
      <c r="D59" s="2">
        <f>Таблица1[[#This Row],[Втб ао цена]]*1000</f>
        <v>61.589999999999996</v>
      </c>
      <c r="E59" s="4">
        <f>(Таблица1[[#This Row],[Втб ао цена]]-B58)/B58</f>
        <v>-4.6003717472119066E-2</v>
      </c>
      <c r="F59" s="3">
        <f>LN(Таблица1[[#This Row],[Втб ао объем]])</f>
        <v>26.404862039681454</v>
      </c>
      <c r="G59" s="3">
        <v>192.33</v>
      </c>
      <c r="H59" s="2">
        <v>943835730</v>
      </c>
      <c r="I59" s="2">
        <f>Таблица4[[#This Row],[Сбербанк цена]]*1000</f>
        <v>192330</v>
      </c>
      <c r="J59" s="4">
        <f>(Таблица4[[#This Row],[Сбербанк цена]]-G58)/G58</f>
        <v>4.806277587052489E-2</v>
      </c>
      <c r="K59" s="3">
        <f>LN(Таблица4[[#This Row],[Сбербанк объем]])</f>
        <v>20.665462694136927</v>
      </c>
      <c r="L59" s="3">
        <v>122.2</v>
      </c>
      <c r="M59" s="3">
        <f>Таблица4[[#This Row],[Газпром цена]]*1000</f>
        <v>122200</v>
      </c>
      <c r="N59" s="2">
        <v>615131840</v>
      </c>
      <c r="O59" s="3">
        <f>LN(Таблица4[[#This Row],[Газпром объем]])</f>
        <v>20.237347176779714</v>
      </c>
      <c r="P59" s="4">
        <f>(Таблица4[[#This Row],[Газпром цена]]-L58)/L58</f>
        <v>3.585657370517932E-2</v>
      </c>
    </row>
    <row r="60" spans="1:16" x14ac:dyDescent="0.2">
      <c r="A60" s="1">
        <v>43009</v>
      </c>
      <c r="B60" s="3">
        <v>0.06</v>
      </c>
      <c r="C60" s="2">
        <v>165599290000</v>
      </c>
      <c r="D60" s="2">
        <f>Таблица1[[#This Row],[Втб ао цена]]*1000</f>
        <v>60</v>
      </c>
      <c r="E60" s="4">
        <f>(Таблица1[[#This Row],[Втб ао цена]]-B59)/B59</f>
        <v>-2.581587920116904E-2</v>
      </c>
      <c r="F60" s="3">
        <f>LN(Таблица1[[#This Row],[Втб ао объем]])</f>
        <v>25.832836791448766</v>
      </c>
      <c r="G60" s="3">
        <v>193.8</v>
      </c>
      <c r="H60" s="2">
        <v>745570010</v>
      </c>
      <c r="I60" s="2">
        <f>Таблица4[[#This Row],[Сбербанк цена]]*1000</f>
        <v>193800</v>
      </c>
      <c r="J60" s="4">
        <f>(Таблица4[[#This Row],[Сбербанк цена]]-G59)/G59</f>
        <v>7.6431133988457273E-3</v>
      </c>
      <c r="K60" s="3">
        <f>LN(Таблица4[[#This Row],[Сбербанк объем]])</f>
        <v>20.42965959788722</v>
      </c>
      <c r="L60" s="3">
        <v>125.9</v>
      </c>
      <c r="M60" s="3">
        <f>Таблица4[[#This Row],[Газпром цена]]*1000</f>
        <v>125900</v>
      </c>
      <c r="N60" s="2">
        <v>511657140</v>
      </c>
      <c r="O60" s="3">
        <f>LN(Таблица4[[#This Row],[Газпром объем]])</f>
        <v>20.053165310251622</v>
      </c>
      <c r="P60" s="4">
        <f>(Таблица4[[#This Row],[Газпром цена]]-L59)/L59</f>
        <v>3.0278232405892003E-2</v>
      </c>
    </row>
    <row r="61" spans="1:16" x14ac:dyDescent="0.2">
      <c r="A61" s="1">
        <v>43040</v>
      </c>
      <c r="B61" s="3">
        <v>5.0779999999999999E-2</v>
      </c>
      <c r="C61" s="2">
        <v>433842240000</v>
      </c>
      <c r="D61" s="2">
        <f>Таблица1[[#This Row],[Втб ао цена]]*1000</f>
        <v>50.78</v>
      </c>
      <c r="E61" s="4">
        <f>(Таблица1[[#This Row],[Втб ао цена]]-B60)/B60</f>
        <v>-0.15366666666666665</v>
      </c>
      <c r="F61" s="3">
        <f>LN(Таблица1[[#This Row],[Втб ао объем]])</f>
        <v>26.795946802659692</v>
      </c>
      <c r="G61" s="3">
        <v>224.35</v>
      </c>
      <c r="H61" s="2">
        <v>1254395580</v>
      </c>
      <c r="I61" s="2">
        <f>Таблица4[[#This Row],[Сбербанк цена]]*1000</f>
        <v>224350</v>
      </c>
      <c r="J61" s="4">
        <f>(Таблица4[[#This Row],[Сбербанк цена]]-G60)/G60</f>
        <v>0.15763673890608865</v>
      </c>
      <c r="K61" s="3">
        <f>LN(Таблица4[[#This Row],[Сбербанк объем]])</f>
        <v>20.949919683957273</v>
      </c>
      <c r="L61" s="3">
        <v>132.15</v>
      </c>
      <c r="M61" s="3">
        <f>Таблица4[[#This Row],[Газпром цена]]*1000</f>
        <v>132150</v>
      </c>
      <c r="N61" s="2">
        <v>670673200</v>
      </c>
      <c r="O61" s="3">
        <f>LN(Таблица4[[#This Row],[Газпром объем]])</f>
        <v>20.323792542019042</v>
      </c>
      <c r="P61" s="4">
        <f>(Таблица4[[#This Row],[Газпром цена]]-L60)/L60</f>
        <v>4.9642573471008734E-2</v>
      </c>
    </row>
    <row r="62" spans="1:16" x14ac:dyDescent="0.2">
      <c r="A62" s="1">
        <v>43070</v>
      </c>
      <c r="B62" s="3">
        <v>4.7320000000000001E-2</v>
      </c>
      <c r="C62" s="2">
        <v>419332310000</v>
      </c>
      <c r="D62" s="2">
        <f>Таблица1[[#This Row],[Втб ао цена]]*1000</f>
        <v>47.32</v>
      </c>
      <c r="E62" s="4">
        <f>(Таблица1[[#This Row],[Втб ао цена]]-B61)/B61</f>
        <v>-6.8137061835368218E-2</v>
      </c>
      <c r="F62" s="3">
        <f>LN(Таблица1[[#This Row],[Втб ао объем]])</f>
        <v>26.761929545154153</v>
      </c>
      <c r="G62" s="3">
        <v>225.2</v>
      </c>
      <c r="H62" s="2">
        <v>683304570</v>
      </c>
      <c r="I62" s="2">
        <f>Таблица4[[#This Row],[Сбербанк цена]]*1000</f>
        <v>225200</v>
      </c>
      <c r="J62" s="4">
        <f>(Таблица4[[#This Row],[Сбербанк цена]]-G61)/G61</f>
        <v>3.788722977490503E-3</v>
      </c>
      <c r="K62" s="3">
        <f>LN(Таблица4[[#This Row],[Сбербанк объем]])</f>
        <v>20.342451247859771</v>
      </c>
      <c r="L62" s="3">
        <v>130.5</v>
      </c>
      <c r="M62" s="3">
        <f>Таблица4[[#This Row],[Газпром цена]]*1000</f>
        <v>130500</v>
      </c>
      <c r="N62" s="2">
        <v>417311690</v>
      </c>
      <c r="O62" s="3">
        <f>LN(Таблица4[[#This Row],[Газпром объем]])</f>
        <v>19.849343958589014</v>
      </c>
      <c r="P62" s="4">
        <f>(Таблица4[[#This Row],[Газпром цена]]-L61)/L61</f>
        <v>-1.2485811577752597E-2</v>
      </c>
    </row>
    <row r="63" spans="1:16" x14ac:dyDescent="0.2">
      <c r="A63" s="1">
        <v>43101</v>
      </c>
      <c r="B63" s="3">
        <v>4.9399999999999999E-2</v>
      </c>
      <c r="C63" s="2">
        <v>352127560000</v>
      </c>
      <c r="D63" s="2">
        <f>Таблица1[[#This Row],[Втб ао цена]]*1000</f>
        <v>49.4</v>
      </c>
      <c r="E63" s="4">
        <f>(Таблица1[[#This Row],[Втб ао цена]]-B62)/B62</f>
        <v>4.3956043956043925E-2</v>
      </c>
      <c r="F63" s="3">
        <f>LN(Таблица1[[#This Row],[Втб ао объем]])</f>
        <v>26.587259333262065</v>
      </c>
      <c r="G63" s="3">
        <v>264.5</v>
      </c>
      <c r="H63" s="2">
        <v>840068720</v>
      </c>
      <c r="I63" s="2">
        <f>Таблица4[[#This Row],[Сбербанк цена]]*1000</f>
        <v>264500</v>
      </c>
      <c r="J63" s="4">
        <f>(Таблица4[[#This Row],[Сбербанк цена]]-G62)/G62</f>
        <v>0.17451154529307289</v>
      </c>
      <c r="K63" s="3">
        <f>LN(Таблица4[[#This Row],[Сбербанк объем]])</f>
        <v>20.548994255979228</v>
      </c>
      <c r="L63" s="3">
        <v>143.36000000000001</v>
      </c>
      <c r="M63" s="3">
        <f>Таблица4[[#This Row],[Газпром цена]]*1000</f>
        <v>143360</v>
      </c>
      <c r="N63" s="2">
        <v>758630450</v>
      </c>
      <c r="O63" s="3">
        <f>LN(Таблица4[[#This Row],[Газпром объем]])</f>
        <v>20.44702532614458</v>
      </c>
      <c r="P63" s="4">
        <f>(Таблица4[[#This Row],[Газпром цена]]-L62)/L62</f>
        <v>9.854406130268209E-2</v>
      </c>
    </row>
    <row r="64" spans="1:16" x14ac:dyDescent="0.2">
      <c r="A64" s="1">
        <v>43132</v>
      </c>
      <c r="B64" s="3">
        <v>5.2760000000000001E-2</v>
      </c>
      <c r="C64" s="2">
        <v>578729040000</v>
      </c>
      <c r="D64" s="2">
        <f>Таблица1[[#This Row],[Втб ао цена]]*1000</f>
        <v>52.76</v>
      </c>
      <c r="E64" s="4">
        <f>(Таблица1[[#This Row],[Втб ао цена]]-B63)/B63</f>
        <v>6.8016194331983845E-2</v>
      </c>
      <c r="F64" s="3">
        <f>LN(Таблица1[[#This Row],[Втб ао объем]])</f>
        <v>27.084100225708319</v>
      </c>
      <c r="G64" s="3">
        <v>272.39999999999998</v>
      </c>
      <c r="H64" s="2">
        <v>1032064390</v>
      </c>
      <c r="I64" s="2">
        <f>Таблица4[[#This Row],[Сбербанк цена]]*1000</f>
        <v>272400</v>
      </c>
      <c r="J64" s="4">
        <f>(Таблица4[[#This Row],[Сбербанк цена]]-G63)/G63</f>
        <v>2.9867674858222976E-2</v>
      </c>
      <c r="K64" s="3">
        <f>LN(Таблица4[[#This Row],[Сбербанк объем]])</f>
        <v>20.754826895470249</v>
      </c>
      <c r="L64" s="3">
        <v>143.16</v>
      </c>
      <c r="M64" s="3">
        <f>Таблица4[[#This Row],[Газпром цена]]*1000</f>
        <v>143160</v>
      </c>
      <c r="N64" s="2">
        <v>675058310</v>
      </c>
      <c r="O64" s="3">
        <f>LN(Таблица4[[#This Row],[Газпром объем]])</f>
        <v>20.330309630291005</v>
      </c>
      <c r="P64" s="4">
        <f>(Таблица4[[#This Row],[Газпром цена]]-L63)/L63</f>
        <v>-1.3950892857144046E-3</v>
      </c>
    </row>
    <row r="65" spans="1:16" x14ac:dyDescent="0.2">
      <c r="A65" s="1">
        <v>43160</v>
      </c>
      <c r="B65" s="3">
        <v>5.1659999999999998E-2</v>
      </c>
      <c r="C65" s="2">
        <v>530212820000</v>
      </c>
      <c r="D65" s="2">
        <f>Таблица1[[#This Row],[Втб ао цена]]*1000</f>
        <v>51.66</v>
      </c>
      <c r="E65" s="4">
        <f>(Таблица1[[#This Row],[Втб ао цена]]-B64)/B64</f>
        <v>-2.084912812736929E-2</v>
      </c>
      <c r="F65" s="3">
        <f>LN(Таблица1[[#This Row],[Втб ао объем]])</f>
        <v>26.9965443100639</v>
      </c>
      <c r="G65" s="3">
        <v>253.57</v>
      </c>
      <c r="H65" s="2">
        <v>993704870</v>
      </c>
      <c r="I65" s="2">
        <f>Таблица4[[#This Row],[Сбербанк цена]]*1000</f>
        <v>253570</v>
      </c>
      <c r="J65" s="4">
        <f>(Таблица4[[#This Row],[Сбербанк цена]]-G64)/G64</f>
        <v>-6.9126284875183505E-2</v>
      </c>
      <c r="K65" s="3">
        <f>LN(Таблица4[[#This Row],[Сбербанк объем]])</f>
        <v>20.7169508090651</v>
      </c>
      <c r="L65" s="3">
        <v>142.33000000000001</v>
      </c>
      <c r="M65" s="3">
        <f>Таблица4[[#This Row],[Газпром цена]]*1000</f>
        <v>142330</v>
      </c>
      <c r="N65" s="2">
        <v>550336390</v>
      </c>
      <c r="O65" s="3">
        <f>LN(Таблица4[[#This Row],[Газпром объем]])</f>
        <v>20.126040267410438</v>
      </c>
      <c r="P65" s="4">
        <f>(Таблица4[[#This Row],[Газпром цена]]-L64)/L64</f>
        <v>-5.7977088572225772E-3</v>
      </c>
    </row>
    <row r="66" spans="1:16" x14ac:dyDescent="0.2">
      <c r="A66" s="1">
        <v>43191</v>
      </c>
      <c r="B66" s="3">
        <v>5.3969999999999997E-2</v>
      </c>
      <c r="C66" s="2">
        <v>754922430000</v>
      </c>
      <c r="D66" s="2">
        <f>Таблица1[[#This Row],[Втб ао цена]]*1000</f>
        <v>53.97</v>
      </c>
      <c r="E66" s="4">
        <f>(Таблица1[[#This Row],[Втб ао цена]]-B65)/B65</f>
        <v>4.4715447154471538E-2</v>
      </c>
      <c r="F66" s="3">
        <f>LN(Таблица1[[#This Row],[Втб ао объем]])</f>
        <v>27.34988083919529</v>
      </c>
      <c r="G66" s="3">
        <v>226.99</v>
      </c>
      <c r="H66" s="2">
        <v>2377768000</v>
      </c>
      <c r="I66" s="2">
        <f>Таблица4[[#This Row],[Сбербанк цена]]*1000</f>
        <v>226990</v>
      </c>
      <c r="J66" s="4">
        <f>(Таблица4[[#This Row],[Сбербанк цена]]-G65)/G65</f>
        <v>-0.10482312576408875</v>
      </c>
      <c r="K66" s="3">
        <f>LN(Таблица4[[#This Row],[Сбербанк объем]])</f>
        <v>21.589428069480011</v>
      </c>
      <c r="L66" s="3">
        <v>145.93</v>
      </c>
      <c r="M66" s="3">
        <f>Таблица4[[#This Row],[Газпром цена]]*1000</f>
        <v>145930</v>
      </c>
      <c r="N66" s="2">
        <v>654967610</v>
      </c>
      <c r="O66" s="3">
        <f>LN(Таблица4[[#This Row],[Газпром объем]])</f>
        <v>20.300096341995136</v>
      </c>
      <c r="P66" s="4">
        <f>(Таблица4[[#This Row],[Газпром цена]]-L65)/L65</f>
        <v>2.5293332396543203E-2</v>
      </c>
    </row>
    <row r="67" spans="1:16" x14ac:dyDescent="0.2">
      <c r="A67" s="1">
        <v>43221</v>
      </c>
      <c r="B67" s="3">
        <v>4.9889999999999997E-2</v>
      </c>
      <c r="C67" s="2">
        <v>502179250000</v>
      </c>
      <c r="D67" s="2">
        <f>Таблица1[[#This Row],[Втб ао цена]]*1000</f>
        <v>49.889999999999993</v>
      </c>
      <c r="E67" s="4">
        <f>(Таблица1[[#This Row],[Втб ао цена]]-B66)/B66</f>
        <v>-7.5597554196775996E-2</v>
      </c>
      <c r="F67" s="3">
        <f>LN(Таблица1[[#This Row],[Втб ао объем]])</f>
        <v>26.942222964616356</v>
      </c>
      <c r="G67" s="3">
        <v>222.36</v>
      </c>
      <c r="H67" s="2">
        <v>1043698830</v>
      </c>
      <c r="I67" s="2">
        <f>Таблица4[[#This Row],[Сбербанк цена]]*1000</f>
        <v>222360</v>
      </c>
      <c r="J67" s="4">
        <f>(Таблица4[[#This Row],[Сбербанк цена]]-G66)/G66</f>
        <v>-2.0397374333671066E-2</v>
      </c>
      <c r="K67" s="3">
        <f>LN(Таблица4[[#This Row],[Сбербанк объем]])</f>
        <v>20.766036807777866</v>
      </c>
      <c r="L67" s="3">
        <v>145</v>
      </c>
      <c r="M67" s="3">
        <f>Таблица4[[#This Row],[Газпром цена]]*1000</f>
        <v>145000</v>
      </c>
      <c r="N67" s="2">
        <v>457602320</v>
      </c>
      <c r="O67" s="3">
        <f>LN(Таблица4[[#This Row],[Газпром объем]])</f>
        <v>19.941511067947079</v>
      </c>
      <c r="P67" s="4">
        <f>(Таблица4[[#This Row],[Газпром цена]]-L66)/L66</f>
        <v>-6.3729185225793652E-3</v>
      </c>
    </row>
    <row r="68" spans="1:16" x14ac:dyDescent="0.2">
      <c r="A68" s="1">
        <v>43252</v>
      </c>
      <c r="B68" s="3">
        <v>4.8009999999999997E-2</v>
      </c>
      <c r="C68" s="2">
        <v>543856810000</v>
      </c>
      <c r="D68" s="2">
        <f>Таблица1[[#This Row],[Втб ао цена]]*1000</f>
        <v>48.01</v>
      </c>
      <c r="E68" s="4">
        <f>(Таблица1[[#This Row],[Втб ао цена]]-B67)/B67</f>
        <v>-3.7682902385247539E-2</v>
      </c>
      <c r="F68" s="3">
        <f>LN(Таблица1[[#This Row],[Втб ао объем]])</f>
        <v>27.021951832242937</v>
      </c>
      <c r="G68" s="3">
        <v>218</v>
      </c>
      <c r="H68" s="2">
        <v>1083180080</v>
      </c>
      <c r="I68" s="2">
        <f>Таблица4[[#This Row],[Сбербанк цена]]*1000</f>
        <v>218000</v>
      </c>
      <c r="J68" s="4">
        <f>(Таблица4[[#This Row],[Сбербанк цена]]-G67)/G67</f>
        <v>-1.9607843137254961E-2</v>
      </c>
      <c r="K68" s="3">
        <f>LN(Таблица4[[#This Row],[Сбербанк объем]])</f>
        <v>20.8031670699975</v>
      </c>
      <c r="L68" s="3">
        <v>141.01</v>
      </c>
      <c r="M68" s="3">
        <f>Таблица4[[#This Row],[Газпром цена]]*1000</f>
        <v>141010</v>
      </c>
      <c r="N68" s="2">
        <v>439786830</v>
      </c>
      <c r="O68" s="3">
        <f>LN(Таблица4[[#This Row],[Газпром объем]])</f>
        <v>19.901800690206819</v>
      </c>
      <c r="P68" s="4">
        <f>(Таблица4[[#This Row],[Газпром цена]]-L67)/L67</f>
        <v>-2.7517241379310407E-2</v>
      </c>
    </row>
    <row r="69" spans="1:16" x14ac:dyDescent="0.2">
      <c r="A69" s="1">
        <v>43282</v>
      </c>
      <c r="B69" s="3">
        <v>4.8280000000000003E-2</v>
      </c>
      <c r="C69" s="2">
        <v>299820580000</v>
      </c>
      <c r="D69" s="2">
        <f>Таблица1[[#This Row],[Втб ао цена]]*1000</f>
        <v>48.28</v>
      </c>
      <c r="E69" s="4">
        <f>(Таблица1[[#This Row],[Втб ао цена]]-B68)/B68</f>
        <v>5.6238283690899053E-3</v>
      </c>
      <c r="F69" s="3">
        <f>LN(Таблица1[[#This Row],[Втб ао объем]])</f>
        <v>26.426450066022738</v>
      </c>
      <c r="G69" s="3">
        <v>214.86</v>
      </c>
      <c r="H69" s="2">
        <v>1232290050</v>
      </c>
      <c r="I69" s="2">
        <f>Таблица4[[#This Row],[Сбербанк цена]]*1000</f>
        <v>214860</v>
      </c>
      <c r="J69" s="4">
        <f>(Таблица4[[#This Row],[Сбербанк цена]]-G68)/G68</f>
        <v>-1.440366972477058E-2</v>
      </c>
      <c r="K69" s="3">
        <f>LN(Таблица4[[#This Row],[Сбербанк объем]])</f>
        <v>20.932140104543205</v>
      </c>
      <c r="L69" s="3">
        <v>143.79</v>
      </c>
      <c r="M69" s="3">
        <f>Таблица4[[#This Row],[Газпром цена]]*1000</f>
        <v>143790</v>
      </c>
      <c r="N69" s="2">
        <v>403411200</v>
      </c>
      <c r="O69" s="3">
        <f>LN(Таблица4[[#This Row],[Газпром объем]])</f>
        <v>19.815466947104923</v>
      </c>
      <c r="P69" s="4">
        <f>(Таблица4[[#This Row],[Газпром цена]]-L68)/L68</f>
        <v>1.9714913835898174E-2</v>
      </c>
    </row>
    <row r="70" spans="1:16" x14ac:dyDescent="0.2">
      <c r="A70" s="1">
        <v>43313</v>
      </c>
      <c r="B70" s="3">
        <v>4.1399999999999999E-2</v>
      </c>
      <c r="C70" s="2">
        <v>405720540000</v>
      </c>
      <c r="D70" s="2">
        <f>Таблица1[[#This Row],[Втб ао цена]]*1000</f>
        <v>41.4</v>
      </c>
      <c r="E70" s="4">
        <f>(Таблица1[[#This Row],[Втб ао цена]]-B69)/B69</f>
        <v>-0.1425020712510357</v>
      </c>
      <c r="F70" s="3">
        <f>LN(Таблица1[[#This Row],[Втб ао объем]])</f>
        <v>26.728930434420491</v>
      </c>
      <c r="G70" s="3">
        <v>182</v>
      </c>
      <c r="H70" s="2">
        <v>1774159080</v>
      </c>
      <c r="I70" s="2">
        <f>Таблица4[[#This Row],[Сбербанк цена]]*1000</f>
        <v>182000</v>
      </c>
      <c r="J70" s="4">
        <f>(Таблица4[[#This Row],[Сбербанк цена]]-G69)/G69</f>
        <v>-0.15293679605324403</v>
      </c>
      <c r="K70" s="3">
        <f>LN(Таблица4[[#This Row],[Сбербанк объем]])</f>
        <v>21.296592389868653</v>
      </c>
      <c r="L70" s="3">
        <v>149.94999999999999</v>
      </c>
      <c r="M70" s="3">
        <f>Таблица4[[#This Row],[Газпром цена]]*1000</f>
        <v>149950</v>
      </c>
      <c r="N70" s="2">
        <v>441314630</v>
      </c>
      <c r="O70" s="3">
        <f>LN(Таблица4[[#This Row],[Газпром объем]])</f>
        <v>19.905268625741019</v>
      </c>
      <c r="P70" s="4">
        <f>(Таблица4[[#This Row],[Газпром цена]]-L69)/L69</f>
        <v>4.2840253146950391E-2</v>
      </c>
    </row>
    <row r="71" spans="1:16" x14ac:dyDescent="0.2">
      <c r="A71" s="1">
        <v>43344</v>
      </c>
      <c r="B71" s="3">
        <v>4.0759999999999998E-2</v>
      </c>
      <c r="C71" s="2">
        <v>392395190000</v>
      </c>
      <c r="D71" s="2">
        <f>Таблица1[[#This Row],[Втб ао цена]]*1000</f>
        <v>40.76</v>
      </c>
      <c r="E71" s="4">
        <f>(Таблица1[[#This Row],[Втб ао цена]]-B70)/B70</f>
        <v>-1.5458937198067674E-2</v>
      </c>
      <c r="F71" s="3">
        <f>LN(Таблица1[[#This Row],[Втб ао объем]])</f>
        <v>26.695535306662389</v>
      </c>
      <c r="G71" s="3">
        <v>203.32</v>
      </c>
      <c r="H71" s="2">
        <v>1723030800</v>
      </c>
      <c r="I71" s="2">
        <f>Таблица4[[#This Row],[Сбербанк цена]]*1000</f>
        <v>203320</v>
      </c>
      <c r="J71" s="4">
        <f>(Таблица4[[#This Row],[Сбербанк цена]]-G70)/G70</f>
        <v>0.1171428571428571</v>
      </c>
      <c r="K71" s="3">
        <f>LN(Таблица4[[#This Row],[Сбербанк объем]])</f>
        <v>21.267350670130462</v>
      </c>
      <c r="L71" s="3">
        <v>162.61000000000001</v>
      </c>
      <c r="M71" s="3">
        <f>Таблица4[[#This Row],[Газпром цена]]*1000</f>
        <v>162610</v>
      </c>
      <c r="N71" s="2">
        <v>553952660</v>
      </c>
      <c r="O71" s="3">
        <f>LN(Таблица4[[#This Row],[Газпром объем]])</f>
        <v>20.132589789796853</v>
      </c>
      <c r="P71" s="4">
        <f>(Таблица4[[#This Row],[Газпром цена]]-L70)/L70</f>
        <v>8.442814271423825E-2</v>
      </c>
    </row>
    <row r="72" spans="1:16" x14ac:dyDescent="0.2">
      <c r="A72" s="1">
        <v>43374</v>
      </c>
      <c r="B72" s="3">
        <v>3.6580000000000001E-2</v>
      </c>
      <c r="C72" s="2">
        <v>437464790000</v>
      </c>
      <c r="D72" s="2">
        <f>Таблица1[[#This Row],[Втб ао цена]]*1000</f>
        <v>36.58</v>
      </c>
      <c r="E72" s="4">
        <f>(Таблица1[[#This Row],[Втб ао цена]]-B71)/B71</f>
        <v>-0.10255152109911669</v>
      </c>
      <c r="F72" s="3">
        <f>LN(Таблица1[[#This Row],[Втб ао объем]])</f>
        <v>26.80426205950539</v>
      </c>
      <c r="G72" s="3">
        <v>189.8</v>
      </c>
      <c r="H72" s="2">
        <v>1809539820</v>
      </c>
      <c r="I72" s="2">
        <f>Таблица4[[#This Row],[Сбербанк цена]]*1000</f>
        <v>189800</v>
      </c>
      <c r="J72" s="4">
        <f>(Таблица4[[#This Row],[Сбербанк цена]]-G71)/G71</f>
        <v>-6.6496163682864359E-2</v>
      </c>
      <c r="K72" s="3">
        <f>LN(Таблица4[[#This Row],[Сбербанк объем]])</f>
        <v>21.316338406804967</v>
      </c>
      <c r="L72" s="3">
        <v>155.47</v>
      </c>
      <c r="M72" s="3">
        <f>Таблица4[[#This Row],[Газпром цена]]*1000</f>
        <v>155470</v>
      </c>
      <c r="N72" s="2">
        <v>708218240</v>
      </c>
      <c r="O72" s="3">
        <f>LN(Таблица4[[#This Row],[Газпром объем]])</f>
        <v>20.37826285274673</v>
      </c>
      <c r="P72" s="4">
        <f>(Таблица4[[#This Row],[Газпром цена]]-L71)/L71</f>
        <v>-4.3908738699957039E-2</v>
      </c>
    </row>
    <row r="73" spans="1:16" x14ac:dyDescent="0.2">
      <c r="A73" s="1">
        <v>43405</v>
      </c>
      <c r="B73" s="3">
        <v>3.73E-2</v>
      </c>
      <c r="C73" s="2">
        <v>459010120000</v>
      </c>
      <c r="D73" s="2">
        <f>Таблица1[[#This Row],[Втб ао цена]]*1000</f>
        <v>37.299999999999997</v>
      </c>
      <c r="E73" s="4">
        <f>(Таблица1[[#This Row],[Втб ао цена]]-B72)/B72</f>
        <v>1.9682886823400723E-2</v>
      </c>
      <c r="F73" s="3">
        <f>LN(Таблица1[[#This Row],[Втб ао объем]])</f>
        <v>26.852338094694186</v>
      </c>
      <c r="G73" s="3">
        <v>194</v>
      </c>
      <c r="H73" s="2">
        <v>1567568800</v>
      </c>
      <c r="I73" s="2">
        <f>Таблица4[[#This Row],[Сбербанк цена]]*1000</f>
        <v>194000</v>
      </c>
      <c r="J73" s="4">
        <f>(Таблица4[[#This Row],[Сбербанк цена]]-G72)/G72</f>
        <v>2.2128556375131656E-2</v>
      </c>
      <c r="K73" s="3">
        <f>LN(Таблица4[[#This Row],[Сбербанк объем]])</f>
        <v>21.172791721055194</v>
      </c>
      <c r="L73" s="3">
        <v>161.29</v>
      </c>
      <c r="M73" s="3">
        <f>Таблица4[[#This Row],[Газпром цена]]*1000</f>
        <v>161290</v>
      </c>
      <c r="N73" s="2">
        <v>554088010</v>
      </c>
      <c r="O73" s="3">
        <f>LN(Таблица4[[#This Row],[Газпром объем]])</f>
        <v>20.132834094910081</v>
      </c>
      <c r="P73" s="4">
        <f>(Таблица4[[#This Row],[Газпром цена]]-L72)/L72</f>
        <v>3.7434874895478185E-2</v>
      </c>
    </row>
    <row r="74" spans="1:16" x14ac:dyDescent="0.2">
      <c r="A74" s="1">
        <v>43435</v>
      </c>
      <c r="B74" s="3">
        <v>3.3849999999999998E-2</v>
      </c>
      <c r="C74" s="2">
        <v>337608430000</v>
      </c>
      <c r="D74" s="2">
        <f>Таблица1[[#This Row],[Втб ао цена]]*1000</f>
        <v>33.85</v>
      </c>
      <c r="E74" s="4">
        <f>(Таблица1[[#This Row],[Втб ао цена]]-B73)/B73</f>
        <v>-9.2493297587131415E-2</v>
      </c>
      <c r="F74" s="3">
        <f>LN(Таблица1[[#This Row],[Втб ао объем]])</f>
        <v>26.545152569735606</v>
      </c>
      <c r="G74" s="3">
        <v>186.3</v>
      </c>
      <c r="H74" s="2">
        <v>1147560770</v>
      </c>
      <c r="I74" s="2">
        <f>Таблица4[[#This Row],[Сбербанк цена]]*1000</f>
        <v>186300</v>
      </c>
      <c r="J74" s="4">
        <f>(Таблица4[[#This Row],[Сбербанк цена]]-G73)/G73</f>
        <v>-3.9690721649484478E-2</v>
      </c>
      <c r="K74" s="3">
        <f>LN(Таблица4[[#This Row],[Сбербанк объем]])</f>
        <v>20.860904457102382</v>
      </c>
      <c r="L74" s="3">
        <v>153.5</v>
      </c>
      <c r="M74" s="3">
        <f>Таблица4[[#This Row],[Газпром цена]]*1000</f>
        <v>153500</v>
      </c>
      <c r="N74" s="2">
        <v>435896450</v>
      </c>
      <c r="O74" s="3">
        <f>LN(Таблица4[[#This Row],[Газпром объем]])</f>
        <v>19.892915273105718</v>
      </c>
      <c r="P74" s="4">
        <f>(Таблица4[[#This Row],[Газпром цена]]-L73)/L73</f>
        <v>-4.8298096596193142E-2</v>
      </c>
    </row>
    <row r="75" spans="1:16" x14ac:dyDescent="0.2">
      <c r="A75" s="1">
        <v>43466</v>
      </c>
      <c r="B75" s="3">
        <v>3.7769999999999998E-2</v>
      </c>
      <c r="C75" s="2">
        <v>322917130000</v>
      </c>
      <c r="D75" s="2">
        <f>Таблица1[[#This Row],[Втб ао цена]]*1000</f>
        <v>37.769999999999996</v>
      </c>
      <c r="E75" s="4">
        <f>(Таблица1[[#This Row],[Втб ао цена]]-B74)/B74</f>
        <v>0.11580502215657312</v>
      </c>
      <c r="F75" s="3">
        <f>LN(Таблица1[[#This Row],[Втб ао объем]])</f>
        <v>26.500661563783538</v>
      </c>
      <c r="G75" s="3">
        <v>217.9</v>
      </c>
      <c r="H75" s="2">
        <v>1181569160</v>
      </c>
      <c r="I75" s="2">
        <f>Таблица4[[#This Row],[Сбербанк цена]]*1000</f>
        <v>217900</v>
      </c>
      <c r="J75" s="4">
        <f>(Таблица4[[#This Row],[Сбербанк цена]]-G74)/G74</f>
        <v>0.16961889425657536</v>
      </c>
      <c r="K75" s="3">
        <f>LN(Таблица4[[#This Row],[Сбербанк объем]])</f>
        <v>20.890109188637712</v>
      </c>
      <c r="L75" s="3">
        <v>162.82</v>
      </c>
      <c r="M75" s="3">
        <f>Таблица4[[#This Row],[Газпром цена]]*1000</f>
        <v>162820</v>
      </c>
      <c r="N75" s="2">
        <v>394617870</v>
      </c>
      <c r="O75" s="3">
        <f>LN(Таблица4[[#This Row],[Газпром объем]])</f>
        <v>19.793428436893333</v>
      </c>
      <c r="P75" s="4">
        <f>(Таблица4[[#This Row],[Газпром цена]]-L74)/L74</f>
        <v>6.0716612377850115E-2</v>
      </c>
    </row>
    <row r="76" spans="1:16" x14ac:dyDescent="0.2">
      <c r="A76" s="1">
        <v>43497</v>
      </c>
      <c r="B76" s="3">
        <v>3.5900000000000001E-2</v>
      </c>
      <c r="C76" s="2">
        <v>286689820000</v>
      </c>
      <c r="D76" s="2">
        <f>Таблица1[[#This Row],[Втб ао цена]]*1000</f>
        <v>35.9</v>
      </c>
      <c r="E76" s="4">
        <f>(Таблица1[[#This Row],[Втб ао цена]]-B75)/B75</f>
        <v>-4.9510193275085962E-2</v>
      </c>
      <c r="F76" s="3">
        <f>LN(Таблица1[[#This Row],[Втб ао объем]])</f>
        <v>26.381666701706202</v>
      </c>
      <c r="G76" s="3">
        <v>207.8</v>
      </c>
      <c r="H76" s="2">
        <v>1316335610</v>
      </c>
      <c r="I76" s="2">
        <f>Таблица4[[#This Row],[Сбербанк цена]]*1000</f>
        <v>207800</v>
      </c>
      <c r="J76" s="4">
        <f>(Таблица4[[#This Row],[Сбербанк цена]]-G75)/G75</f>
        <v>-4.6351537402478174E-2</v>
      </c>
      <c r="K76" s="3">
        <f>LN(Таблица4[[#This Row],[Сбербанк объем]])</f>
        <v>20.998117660133104</v>
      </c>
      <c r="L76" s="3">
        <v>158.99</v>
      </c>
      <c r="M76" s="3">
        <f>Таблица4[[#This Row],[Газпром цена]]*1000</f>
        <v>158990</v>
      </c>
      <c r="N76" s="2">
        <v>394761860</v>
      </c>
      <c r="O76" s="3">
        <f>LN(Таблица4[[#This Row],[Газпром объем]])</f>
        <v>19.79379325498056</v>
      </c>
      <c r="P76" s="4">
        <f>(Таблица4[[#This Row],[Газпром цена]]-L75)/L75</f>
        <v>-2.3522908733570717E-2</v>
      </c>
    </row>
    <row r="77" spans="1:16" x14ac:dyDescent="0.2">
      <c r="A77" s="1">
        <v>43525</v>
      </c>
      <c r="B77" s="3">
        <v>3.5645000000000003E-2</v>
      </c>
      <c r="C77" s="2">
        <v>300233110000</v>
      </c>
      <c r="D77" s="2">
        <f>Таблица1[[#This Row],[Втб ао цена]]*1000</f>
        <v>35.645000000000003</v>
      </c>
      <c r="E77" s="4">
        <f>(Таблица1[[#This Row],[Втб ао цена]]-B76)/B76</f>
        <v>-7.1030640668523198E-3</v>
      </c>
      <c r="F77" s="3">
        <f>LN(Таблица1[[#This Row],[Втб ао объем]])</f>
        <v>26.427825043201839</v>
      </c>
      <c r="G77" s="3">
        <v>214.42</v>
      </c>
      <c r="H77" s="2">
        <v>1071950350</v>
      </c>
      <c r="I77" s="2">
        <f>Таблица4[[#This Row],[Сбербанк цена]]*1000</f>
        <v>214420</v>
      </c>
      <c r="J77" s="4">
        <f>(Таблица4[[#This Row],[Сбербанк цена]]-G76)/G76</f>
        <v>3.1857555341674573E-2</v>
      </c>
      <c r="K77" s="3">
        <f>LN(Таблица4[[#This Row],[Сбербанк объем]])</f>
        <v>20.792745583223926</v>
      </c>
      <c r="L77" s="3">
        <v>149.61000000000001</v>
      </c>
      <c r="M77" s="3">
        <f>Таблица4[[#This Row],[Газпром цена]]*1000</f>
        <v>149610</v>
      </c>
      <c r="N77" s="2">
        <v>424906810</v>
      </c>
      <c r="O77" s="3">
        <f>LN(Таблица4[[#This Row],[Газпром объем]])</f>
        <v>19.867380432257146</v>
      </c>
      <c r="P77" s="4">
        <f>(Таблица4[[#This Row],[Газпром цена]]-L76)/L76</f>
        <v>-5.8997421221460435E-2</v>
      </c>
    </row>
    <row r="78" spans="1:16" x14ac:dyDescent="0.2">
      <c r="A78" s="1">
        <v>43556</v>
      </c>
      <c r="B78" s="3">
        <v>3.5499999999999997E-2</v>
      </c>
      <c r="C78" s="2">
        <v>338645330000</v>
      </c>
      <c r="D78" s="2">
        <f>Таблица1[[#This Row],[Втб ао цена]]*1000</f>
        <v>35.5</v>
      </c>
      <c r="E78" s="4">
        <f>(Таблица1[[#This Row],[Втб ао цена]]-B77)/B77</f>
        <v>-4.0678917099174136E-3</v>
      </c>
      <c r="F78" s="3">
        <f>LN(Таблица1[[#This Row],[Втб ао объем]])</f>
        <v>26.548219172463519</v>
      </c>
      <c r="G78" s="3">
        <v>225.17</v>
      </c>
      <c r="H78" s="2">
        <v>1567685270</v>
      </c>
      <c r="I78" s="2">
        <f>Таблица4[[#This Row],[Сбербанк цена]]*1000</f>
        <v>225170</v>
      </c>
      <c r="J78" s="4">
        <f>(Таблица4[[#This Row],[Сбербанк цена]]-G77)/G77</f>
        <v>5.0135248577558064E-2</v>
      </c>
      <c r="K78" s="3">
        <f>LN(Таблица4[[#This Row],[Сбербанк объем]])</f>
        <v>21.172866018064273</v>
      </c>
      <c r="L78" s="3">
        <v>163.95</v>
      </c>
      <c r="M78" s="3">
        <f>Таблица4[[#This Row],[Газпром цена]]*1000</f>
        <v>163950</v>
      </c>
      <c r="N78" s="2">
        <v>576420680</v>
      </c>
      <c r="O78" s="3">
        <f>LN(Таблица4[[#This Row],[Газпром объем]])</f>
        <v>20.172348299308641</v>
      </c>
      <c r="P78" s="4">
        <f>(Таблица4[[#This Row],[Газпром цена]]-L77)/L77</f>
        <v>9.5849207940645498E-2</v>
      </c>
    </row>
    <row r="79" spans="1:16" x14ac:dyDescent="0.2">
      <c r="A79" s="1">
        <v>43586</v>
      </c>
      <c r="B79" s="3">
        <v>3.6705000000000002E-2</v>
      </c>
      <c r="C79" s="2">
        <v>504487530000</v>
      </c>
      <c r="D79" s="2">
        <f>Таблица1[[#This Row],[Втб ао цена]]*1000</f>
        <v>36.704999999999998</v>
      </c>
      <c r="E79" s="4">
        <f>(Таблица1[[#This Row],[Втб ао цена]]-B78)/B78</f>
        <v>3.3943661971831122E-2</v>
      </c>
      <c r="F79" s="3">
        <f>LN(Таблица1[[#This Row],[Втб ао объем]])</f>
        <v>26.946808958892472</v>
      </c>
      <c r="G79" s="3">
        <v>233.24</v>
      </c>
      <c r="H79" s="2">
        <v>1029175370</v>
      </c>
      <c r="I79" s="2">
        <f>Таблица4[[#This Row],[Сбербанк цена]]*1000</f>
        <v>233240</v>
      </c>
      <c r="J79" s="4">
        <f>(Таблица4[[#This Row],[Сбербанк цена]]-G78)/G78</f>
        <v>3.583958786694507E-2</v>
      </c>
      <c r="K79" s="3">
        <f>LN(Таблица4[[#This Row],[Сбербанк объем]])</f>
        <v>20.752023706876802</v>
      </c>
      <c r="L79" s="3">
        <v>215.1</v>
      </c>
      <c r="M79" s="3">
        <f>Таблица4[[#This Row],[Газпром цена]]*1000</f>
        <v>215100</v>
      </c>
      <c r="N79" s="2">
        <v>1077221090</v>
      </c>
      <c r="O79" s="3">
        <f>LN(Таблица4[[#This Row],[Газпром объем]])</f>
        <v>20.797650497247009</v>
      </c>
      <c r="P79" s="4">
        <f>(Таблица4[[#This Row],[Газпром цена]]-L78)/L78</f>
        <v>0.31198536139066796</v>
      </c>
    </row>
    <row r="80" spans="1:16" x14ac:dyDescent="0.2">
      <c r="A80" s="1">
        <v>43617</v>
      </c>
      <c r="B80" s="3">
        <v>3.9879999999999999E-2</v>
      </c>
      <c r="C80" s="2">
        <v>552706610000</v>
      </c>
      <c r="D80" s="2">
        <f>Таблица1[[#This Row],[Втб ао цена]]*1000</f>
        <v>39.879999999999995</v>
      </c>
      <c r="E80" s="4">
        <f>(Таблица1[[#This Row],[Втб ао цена]]-B79)/B79</f>
        <v>8.6500476774281354E-2</v>
      </c>
      <c r="F80" s="3">
        <f>LN(Таблица1[[#This Row],[Втб ао объем]])</f>
        <v>27.038093155185798</v>
      </c>
      <c r="G80" s="3">
        <v>238.55</v>
      </c>
      <c r="H80" s="2">
        <v>1023004980</v>
      </c>
      <c r="I80" s="2">
        <f>Таблица4[[#This Row],[Сбербанк цена]]*1000</f>
        <v>238550</v>
      </c>
      <c r="J80" s="4">
        <f>(Таблица4[[#This Row],[Сбербанк цена]]-G79)/G79</f>
        <v>2.2766249356885621E-2</v>
      </c>
      <c r="K80" s="3">
        <f>LN(Таблица4[[#This Row],[Сбербанк объем]])</f>
        <v>20.746010191939241</v>
      </c>
      <c r="L80" s="3">
        <v>232.83</v>
      </c>
      <c r="M80" s="3">
        <f>Таблица4[[#This Row],[Газпром цена]]*1000</f>
        <v>232830</v>
      </c>
      <c r="N80" s="2">
        <v>918359340</v>
      </c>
      <c r="O80" s="3">
        <f>LN(Таблица4[[#This Row],[Газпром объем]])</f>
        <v>20.638099309901431</v>
      </c>
      <c r="P80" s="4">
        <f>(Таблица4[[#This Row],[Газпром цена]]-L79)/L79</f>
        <v>8.2426778242677912E-2</v>
      </c>
    </row>
    <row r="81" spans="1:16" x14ac:dyDescent="0.2">
      <c r="A81" s="1">
        <v>43647</v>
      </c>
      <c r="B81" s="3">
        <v>4.2500000000000003E-2</v>
      </c>
      <c r="C81" s="2">
        <v>878966510000</v>
      </c>
      <c r="D81" s="2">
        <f>Таблица1[[#This Row],[Втб ао цена]]*1000</f>
        <v>42.5</v>
      </c>
      <c r="E81" s="4">
        <f>(Таблица1[[#This Row],[Втб ао цена]]-B80)/B80</f>
        <v>6.5697091273821576E-2</v>
      </c>
      <c r="F81" s="3">
        <f>LN(Таблица1[[#This Row],[Втб ао объем]])</f>
        <v>27.502012633791995</v>
      </c>
      <c r="G81" s="3">
        <v>233.49</v>
      </c>
      <c r="H81" s="2">
        <v>780046580</v>
      </c>
      <c r="I81" s="2">
        <f>Таблица4[[#This Row],[Сбербанк цена]]*1000</f>
        <v>233490</v>
      </c>
      <c r="J81" s="4">
        <f>(Таблица4[[#This Row],[Сбербанк цена]]-G80)/G80</f>
        <v>-2.121148606162231E-2</v>
      </c>
      <c r="K81" s="3">
        <f>LN(Таблица4[[#This Row],[Сбербанк объем]])</f>
        <v>20.474864193813584</v>
      </c>
      <c r="L81" s="3">
        <v>236.9</v>
      </c>
      <c r="M81" s="3">
        <f>Таблица4[[#This Row],[Газпром цена]]*1000</f>
        <v>236900</v>
      </c>
      <c r="N81" s="2">
        <v>1185460410</v>
      </c>
      <c r="O81" s="3">
        <f>LN(Таблица4[[#This Row],[Газпром объем]])</f>
        <v>20.893397067720201</v>
      </c>
      <c r="P81" s="4">
        <f>(Таблица4[[#This Row],[Газпром цена]]-L80)/L80</f>
        <v>1.7480565219258656E-2</v>
      </c>
    </row>
    <row r="82" spans="1:16" x14ac:dyDescent="0.2">
      <c r="A82" s="1">
        <v>43678</v>
      </c>
      <c r="B82" s="3">
        <v>3.8679999999999999E-2</v>
      </c>
      <c r="C82" s="2">
        <v>588826140000</v>
      </c>
      <c r="D82" s="2">
        <f>Таблица1[[#This Row],[Втб ао цена]]*1000</f>
        <v>38.68</v>
      </c>
      <c r="E82" s="4">
        <f>(Таблица1[[#This Row],[Втб ао цена]]-B81)/B81</f>
        <v>-8.9882352941176552E-2</v>
      </c>
      <c r="F82" s="3">
        <f>LN(Таблица1[[#This Row],[Втб ао объем]])</f>
        <v>27.101396798756067</v>
      </c>
      <c r="G82" s="3">
        <v>224.2</v>
      </c>
      <c r="H82" s="2">
        <v>1024861980</v>
      </c>
      <c r="I82" s="2">
        <f>Таблица4[[#This Row],[Сбербанк цена]]*1000</f>
        <v>224200</v>
      </c>
      <c r="J82" s="4">
        <f>(Таблица4[[#This Row],[Сбербанк цена]]-G81)/G81</f>
        <v>-3.9787571202192902E-2</v>
      </c>
      <c r="K82" s="3">
        <f>LN(Таблица4[[#This Row],[Сбербанк объем]])</f>
        <v>20.74782378681163</v>
      </c>
      <c r="L82" s="3">
        <v>232.15</v>
      </c>
      <c r="M82" s="3">
        <f>Таблица4[[#This Row],[Газпром цена]]*1000</f>
        <v>232150</v>
      </c>
      <c r="N82" s="2">
        <v>715634720</v>
      </c>
      <c r="O82" s="3">
        <f>LN(Таблица4[[#This Row],[Газпром объем]])</f>
        <v>20.388680427147388</v>
      </c>
      <c r="P82" s="4">
        <f>(Таблица4[[#This Row],[Газпром цена]]-L81)/L81</f>
        <v>-2.0050654284508231E-2</v>
      </c>
    </row>
    <row r="83" spans="1:16" x14ac:dyDescent="0.2">
      <c r="A83" s="1">
        <v>43709</v>
      </c>
      <c r="B83" s="3">
        <v>4.2595000000000001E-2</v>
      </c>
      <c r="C83" s="2">
        <v>810694080000</v>
      </c>
      <c r="D83" s="2">
        <f>Таблица1[[#This Row],[Втб ао цена]]*1000</f>
        <v>42.594999999999999</v>
      </c>
      <c r="E83" s="4">
        <f>(Таблица1[[#This Row],[Втб ао цена]]-B82)/B82</f>
        <v>0.10121509824198557</v>
      </c>
      <c r="F83" s="3">
        <f>LN(Таблица1[[#This Row],[Втб ао объем]])</f>
        <v>27.421156606582091</v>
      </c>
      <c r="G83" s="3">
        <v>227.71</v>
      </c>
      <c r="H83" s="2">
        <v>796864790</v>
      </c>
      <c r="I83" s="2">
        <f>Таблица4[[#This Row],[Сбербанк цена]]*1000</f>
        <v>227710</v>
      </c>
      <c r="J83" s="4">
        <f>(Таблица4[[#This Row],[Сбербанк цена]]-G82)/G82</f>
        <v>1.5655664585191881E-2</v>
      </c>
      <c r="K83" s="3">
        <f>LN(Таблица4[[#This Row],[Сбербанк объем]])</f>
        <v>20.496195573679962</v>
      </c>
      <c r="L83" s="3">
        <v>225.9</v>
      </c>
      <c r="M83" s="3">
        <f>Таблица4[[#This Row],[Газпром цена]]*1000</f>
        <v>225900</v>
      </c>
      <c r="N83" s="2">
        <v>514923280</v>
      </c>
      <c r="O83" s="3">
        <f>LN(Таблица4[[#This Row],[Газпром объем]])</f>
        <v>20.059528476656961</v>
      </c>
      <c r="P83" s="4">
        <f>(Таблица4[[#This Row],[Газпром цена]]-L82)/L82</f>
        <v>-2.6922248546198579E-2</v>
      </c>
    </row>
    <row r="84" spans="1:16" x14ac:dyDescent="0.2">
      <c r="A84" s="1">
        <v>43739</v>
      </c>
      <c r="B84" s="3">
        <v>4.3090000000000003E-2</v>
      </c>
      <c r="C84" s="2">
        <v>561078690000</v>
      </c>
      <c r="D84" s="2">
        <f>Таблица1[[#This Row],[Втб ао цена]]*1000</f>
        <v>43.09</v>
      </c>
      <c r="E84" s="4">
        <f>(Таблица1[[#This Row],[Втб ао цена]]-B83)/B83</f>
        <v>1.1621082286653419E-2</v>
      </c>
      <c r="F84" s="3">
        <f>LN(Таблица1[[#This Row],[Втб ао объем]])</f>
        <v>27.053127000012239</v>
      </c>
      <c r="G84" s="3">
        <v>234.89</v>
      </c>
      <c r="H84" s="2">
        <v>894393040</v>
      </c>
      <c r="I84" s="2">
        <f>Таблица4[[#This Row],[Сбербанк цена]]*1000</f>
        <v>234890</v>
      </c>
      <c r="J84" s="4">
        <f>(Таблица4[[#This Row],[Сбербанк цена]]-G83)/G83</f>
        <v>3.1531333713934295E-2</v>
      </c>
      <c r="K84" s="3">
        <f>LN(Таблица4[[#This Row],[Сбербанк объем]])</f>
        <v>20.611655878581701</v>
      </c>
      <c r="L84" s="3">
        <v>260</v>
      </c>
      <c r="M84" s="3">
        <f>Таблица4[[#This Row],[Газпром цена]]*1000</f>
        <v>260000</v>
      </c>
      <c r="N84" s="2">
        <v>763625060</v>
      </c>
      <c r="O84" s="3">
        <f>LN(Таблица4[[#This Row],[Газпром объем]])</f>
        <v>20.4535874675068</v>
      </c>
      <c r="P84" s="4">
        <f>(Таблица4[[#This Row],[Газпром цена]]-L83)/L83</f>
        <v>0.15095174856131027</v>
      </c>
    </row>
    <row r="85" spans="1:16" x14ac:dyDescent="0.2">
      <c r="A85" s="1">
        <v>43770</v>
      </c>
      <c r="B85" s="3">
        <v>4.5330000000000002E-2</v>
      </c>
      <c r="C85" s="2">
        <v>790972300000</v>
      </c>
      <c r="D85" s="2">
        <f>Таблица1[[#This Row],[Втб ао цена]]*1000</f>
        <v>45.330000000000005</v>
      </c>
      <c r="E85" s="4">
        <f>(Таблица1[[#This Row],[Втб ао цена]]-B84)/B84</f>
        <v>5.1984219076351791E-2</v>
      </c>
      <c r="F85" s="3">
        <f>LN(Таблица1[[#This Row],[Втб ао объем]])</f>
        <v>27.396528785137548</v>
      </c>
      <c r="G85" s="3">
        <v>233.98</v>
      </c>
      <c r="H85" s="2">
        <v>643074600</v>
      </c>
      <c r="I85" s="2">
        <f>Таблица4[[#This Row],[Сбербанк цена]]*1000</f>
        <v>233980</v>
      </c>
      <c r="J85" s="4">
        <f>(Таблица4[[#This Row],[Сбербанк цена]]-G84)/G84</f>
        <v>-3.8741538592532532E-3</v>
      </c>
      <c r="K85" s="3">
        <f>LN(Таблица4[[#This Row],[Сбербанк объем]])</f>
        <v>20.281771294134767</v>
      </c>
      <c r="L85" s="3">
        <v>257.54000000000002</v>
      </c>
      <c r="M85" s="3">
        <f>Таблица4[[#This Row],[Газпром цена]]*1000</f>
        <v>257540.00000000003</v>
      </c>
      <c r="N85" s="2">
        <v>1496648200</v>
      </c>
      <c r="O85" s="3">
        <f>LN(Таблица4[[#This Row],[Газпром объем]])</f>
        <v>21.126493911426277</v>
      </c>
      <c r="P85" s="4">
        <f>(Таблица4[[#This Row],[Газпром цена]]-L84)/L84</f>
        <v>-9.4615384615383824E-3</v>
      </c>
    </row>
    <row r="86" spans="1:16" x14ac:dyDescent="0.2">
      <c r="A86" s="1">
        <v>43800</v>
      </c>
      <c r="B86" s="3">
        <v>4.5900000000000003E-2</v>
      </c>
      <c r="C86" s="2">
        <v>399669980000</v>
      </c>
      <c r="D86" s="2">
        <f>Таблица1[[#This Row],[Втб ао цена]]*1000</f>
        <v>45.900000000000006</v>
      </c>
      <c r="E86" s="4">
        <f>(Таблица1[[#This Row],[Втб ао цена]]-B85)/B85</f>
        <v>1.2574454003970902E-2</v>
      </c>
      <c r="F86" s="3">
        <f>LN(Таблица1[[#This Row],[Втб ао объем]])</f>
        <v>26.713904993513321</v>
      </c>
      <c r="G86" s="3">
        <v>254.75</v>
      </c>
      <c r="H86" s="2">
        <v>666344120</v>
      </c>
      <c r="I86" s="2">
        <f>Таблица4[[#This Row],[Сбербанк цена]]*1000</f>
        <v>254750</v>
      </c>
      <c r="J86" s="4">
        <f>(Таблица4[[#This Row],[Сбербанк цена]]-G85)/G85</f>
        <v>8.8768270792375467E-2</v>
      </c>
      <c r="K86" s="3">
        <f>LN(Таблица4[[#This Row],[Сбербанк объем]])</f>
        <v>20.317316791759584</v>
      </c>
      <c r="L86" s="3">
        <v>256.39999999999998</v>
      </c>
      <c r="M86" s="3">
        <f>Таблица4[[#This Row],[Газпром цена]]*1000</f>
        <v>256399.99999999997</v>
      </c>
      <c r="N86" s="2">
        <v>850735710</v>
      </c>
      <c r="O86" s="3">
        <f>LN(Таблица4[[#This Row],[Газпром объем]])</f>
        <v>20.561612074260346</v>
      </c>
      <c r="P86" s="4">
        <f>(Таблица4[[#This Row],[Газпром цена]]-L85)/L85</f>
        <v>-4.4264968548576649E-3</v>
      </c>
    </row>
    <row r="87" spans="1:16" x14ac:dyDescent="0.2">
      <c r="A87" s="1">
        <v>43831</v>
      </c>
      <c r="B87" s="3">
        <v>4.6399999999999997E-2</v>
      </c>
      <c r="C87" s="2">
        <v>799598550000</v>
      </c>
      <c r="D87" s="2">
        <f>Таблица1[[#This Row],[Втб ао цена]]*1000</f>
        <v>46.4</v>
      </c>
      <c r="E87" s="4">
        <f>(Таблица1[[#This Row],[Втб ао цена]]-B86)/B86</f>
        <v>1.0893246187363693E-2</v>
      </c>
      <c r="F87" s="3">
        <f>LN(Таблица1[[#This Row],[Втб ао объем]])</f>
        <v>27.40737562616431</v>
      </c>
      <c r="G87" s="3">
        <v>252.2</v>
      </c>
      <c r="H87" s="2">
        <v>747137520</v>
      </c>
      <c r="I87" s="2">
        <f>Таблица4[[#This Row],[Сбербанк цена]]*1000</f>
        <v>252200</v>
      </c>
      <c r="J87" s="4">
        <f>(Таблица4[[#This Row],[Сбербанк цена]]-G86)/G86</f>
        <v>-1.0009813542688956E-2</v>
      </c>
      <c r="K87" s="3">
        <f>LN(Таблица4[[#This Row],[Сбербанк объем]])</f>
        <v>20.431759822538975</v>
      </c>
      <c r="L87" s="3">
        <v>226.7</v>
      </c>
      <c r="M87" s="3">
        <f>Таблица4[[#This Row],[Газпром цена]]*1000</f>
        <v>226700</v>
      </c>
      <c r="N87" s="2">
        <v>943229040</v>
      </c>
      <c r="O87" s="3">
        <f>LN(Таблица4[[#This Row],[Газпром объем]])</f>
        <v>20.66481969551754</v>
      </c>
      <c r="P87" s="4">
        <f>(Таблица4[[#This Row],[Газпром цена]]-L86)/L86</f>
        <v>-0.11583463338533538</v>
      </c>
    </row>
    <row r="88" spans="1:16" x14ac:dyDescent="0.2">
      <c r="A88" s="1">
        <v>43862</v>
      </c>
      <c r="B88" s="3">
        <v>4.333E-2</v>
      </c>
      <c r="C88" s="2">
        <v>598942560000</v>
      </c>
      <c r="D88" s="2">
        <f>Таблица1[[#This Row],[Втб ао цена]]*1000</f>
        <v>43.33</v>
      </c>
      <c r="E88" s="4">
        <f>(Таблица1[[#This Row],[Втб ао цена]]-B87)/B87</f>
        <v>-6.6163793103448207E-2</v>
      </c>
      <c r="F88" s="3">
        <f>LN(Таблица1[[#This Row],[Втб ао объем]])</f>
        <v>27.11843153730856</v>
      </c>
      <c r="G88" s="3">
        <v>233.36</v>
      </c>
      <c r="H88" s="2">
        <v>919822790</v>
      </c>
      <c r="I88" s="2">
        <f>Таблица4[[#This Row],[Сбербанк цена]]*1000</f>
        <v>233360</v>
      </c>
      <c r="J88" s="4">
        <f>(Таблица4[[#This Row],[Сбербанк цена]]-G87)/G87</f>
        <v>-7.4702616970658109E-2</v>
      </c>
      <c r="K88" s="3">
        <f>LN(Таблица4[[#This Row],[Сбербанк объем]])</f>
        <v>20.63969158988861</v>
      </c>
      <c r="L88" s="3">
        <v>202.65</v>
      </c>
      <c r="M88" s="3">
        <f>Таблица4[[#This Row],[Газпром цена]]*1000</f>
        <v>202650</v>
      </c>
      <c r="N88" s="2">
        <v>1068549530</v>
      </c>
      <c r="O88" s="3">
        <f>LN(Таблица4[[#This Row],[Газпром объем]])</f>
        <v>20.789567986351983</v>
      </c>
      <c r="P88" s="4">
        <f>(Таблица4[[#This Row],[Газпром цена]]-L87)/L87</f>
        <v>-0.10608734009704449</v>
      </c>
    </row>
    <row r="89" spans="1:16" x14ac:dyDescent="0.2">
      <c r="A89" s="1">
        <v>43891</v>
      </c>
      <c r="B89" s="3">
        <v>3.2599999999999997E-2</v>
      </c>
      <c r="C89" s="2">
        <v>1740129320000</v>
      </c>
      <c r="D89" s="2">
        <f>Таблица1[[#This Row],[Втб ао цена]]*1000</f>
        <v>32.599999999999994</v>
      </c>
      <c r="E89" s="4">
        <f>(Таблица1[[#This Row],[Втб ао цена]]-B88)/B88</f>
        <v>-0.2476344334179553</v>
      </c>
      <c r="F89" s="3">
        <f>LN(Таблица1[[#This Row],[Втб ао объем]])</f>
        <v>28.184980548232335</v>
      </c>
      <c r="G89" s="3">
        <v>187.21</v>
      </c>
      <c r="H89" s="2">
        <v>3001736660</v>
      </c>
      <c r="I89" s="2">
        <f>Таблица4[[#This Row],[Сбербанк цена]]*1000</f>
        <v>187210</v>
      </c>
      <c r="J89" s="4">
        <f>(Таблица4[[#This Row],[Сбербанк цена]]-G88)/G88</f>
        <v>-0.19776311278711006</v>
      </c>
      <c r="K89" s="3">
        <f>LN(Таблица4[[#This Row],[Сбербанк объем]])</f>
        <v>21.822456844790935</v>
      </c>
      <c r="L89" s="3">
        <v>181.41</v>
      </c>
      <c r="M89" s="3">
        <f>Таблица4[[#This Row],[Газпром цена]]*1000</f>
        <v>181410</v>
      </c>
      <c r="N89" s="2">
        <v>2274256090</v>
      </c>
      <c r="O89" s="3">
        <f>LN(Таблица4[[#This Row],[Газпром объем]])</f>
        <v>21.544918842468729</v>
      </c>
      <c r="P89" s="4">
        <f>(Таблица4[[#This Row],[Газпром цена]]-L88)/L88</f>
        <v>-0.1048112509252406</v>
      </c>
    </row>
    <row r="90" spans="1:16" x14ac:dyDescent="0.2">
      <c r="A90" s="1">
        <v>43922</v>
      </c>
      <c r="B90" s="3">
        <v>3.49E-2</v>
      </c>
      <c r="C90" s="2">
        <v>1423841900000</v>
      </c>
      <c r="D90" s="2">
        <f>Таблица1[[#This Row],[Втб ао цена]]*1000</f>
        <v>34.9</v>
      </c>
      <c r="E90" s="4">
        <f>(Таблица1[[#This Row],[Втб ао цена]]-B89)/B89</f>
        <v>7.055214723926391E-2</v>
      </c>
      <c r="F90" s="3">
        <f>LN(Таблица1[[#This Row],[Втб ао объем]])</f>
        <v>27.984379897473669</v>
      </c>
      <c r="G90" s="3">
        <v>197.25</v>
      </c>
      <c r="H90" s="2">
        <v>1768222700</v>
      </c>
      <c r="I90" s="2">
        <f>Таблица4[[#This Row],[Сбербанк цена]]*1000</f>
        <v>197250</v>
      </c>
      <c r="J90" s="4">
        <f>(Таблица4[[#This Row],[Сбербанк цена]]-G89)/G89</f>
        <v>5.3629613802681435E-2</v>
      </c>
      <c r="K90" s="3">
        <f>LN(Таблица4[[#This Row],[Сбербанк объем]])</f>
        <v>21.293240754767837</v>
      </c>
      <c r="L90" s="3">
        <v>190</v>
      </c>
      <c r="M90" s="3">
        <f>Таблица4[[#This Row],[Газпром цена]]*1000</f>
        <v>190000</v>
      </c>
      <c r="N90" s="2">
        <v>1151699700</v>
      </c>
      <c r="O90" s="3">
        <f>LN(Таблица4[[#This Row],[Газпром объем]])</f>
        <v>20.8645046881546</v>
      </c>
      <c r="P90" s="4">
        <f>(Таблица4[[#This Row],[Газпром цена]]-L89)/L89</f>
        <v>4.735130367675433E-2</v>
      </c>
    </row>
    <row r="91" spans="1:16" x14ac:dyDescent="0.2">
      <c r="A91" s="1">
        <v>43952</v>
      </c>
      <c r="B91" s="3">
        <v>3.6310000000000002E-2</v>
      </c>
      <c r="C91" s="2">
        <v>553192080000</v>
      </c>
      <c r="D91" s="2">
        <f>Таблица1[[#This Row],[Втб ао цена]]*1000</f>
        <v>36.31</v>
      </c>
      <c r="E91" s="4">
        <f>(Таблица1[[#This Row],[Втб ао цена]]-B90)/B90</f>
        <v>4.0401146131805198E-2</v>
      </c>
      <c r="F91" s="3">
        <f>LN(Таблица1[[#This Row],[Втб ао объем]])</f>
        <v>27.038971119931709</v>
      </c>
      <c r="G91" s="3">
        <v>200.5</v>
      </c>
      <c r="H91" s="2">
        <v>1359045230</v>
      </c>
      <c r="I91" s="2">
        <f>Таблица4[[#This Row],[Сбербанк цена]]*1000</f>
        <v>200500</v>
      </c>
      <c r="J91" s="4">
        <f>(Таблица4[[#This Row],[Сбербанк цена]]-G90)/G90</f>
        <v>1.6476552598225603E-2</v>
      </c>
      <c r="K91" s="3">
        <f>LN(Таблица4[[#This Row],[Сбербанк объем]])</f>
        <v>21.030048253386461</v>
      </c>
      <c r="L91" s="3">
        <v>199.95</v>
      </c>
      <c r="M91" s="3">
        <f>Таблица4[[#This Row],[Газпром цена]]*1000</f>
        <v>199950</v>
      </c>
      <c r="N91" s="2">
        <v>1119152560</v>
      </c>
      <c r="O91" s="3">
        <f>LN(Таблица4[[#This Row],[Газпром объем]])</f>
        <v>20.835837592997589</v>
      </c>
      <c r="P91" s="4">
        <f>(Таблица4[[#This Row],[Газпром цена]]-L90)/L90</f>
        <v>5.2368421052631522E-2</v>
      </c>
    </row>
    <row r="92" spans="1:16" x14ac:dyDescent="0.2">
      <c r="A92" s="1">
        <v>43983</v>
      </c>
      <c r="B92" s="3">
        <v>3.5049999999999998E-2</v>
      </c>
      <c r="C92" s="2">
        <v>644559090000</v>
      </c>
      <c r="D92" s="2">
        <f>Таблица1[[#This Row],[Втб ао цена]]*1000</f>
        <v>35.049999999999997</v>
      </c>
      <c r="E92" s="4">
        <f>(Таблица1[[#This Row],[Втб ао цена]]-B91)/B91</f>
        <v>-3.4701184246764091E-2</v>
      </c>
      <c r="F92" s="3">
        <f>LN(Таблица1[[#This Row],[Втб ао объем]])</f>
        <v>27.191832338598541</v>
      </c>
      <c r="G92" s="3">
        <v>203.22</v>
      </c>
      <c r="H92" s="2">
        <v>1522268370</v>
      </c>
      <c r="I92" s="2">
        <f>Таблица4[[#This Row],[Сбербанк цена]]*1000</f>
        <v>203220</v>
      </c>
      <c r="J92" s="4">
        <f>(Таблица4[[#This Row],[Сбербанк цена]]-G91)/G91</f>
        <v>1.356608478802992E-2</v>
      </c>
      <c r="K92" s="3">
        <f>LN(Таблица4[[#This Row],[Сбербанк объем]])</f>
        <v>21.143467408043144</v>
      </c>
      <c r="L92" s="3">
        <v>194.31</v>
      </c>
      <c r="M92" s="3">
        <f>Таблица4[[#This Row],[Газпром цена]]*1000</f>
        <v>194310</v>
      </c>
      <c r="N92" s="2">
        <v>949645980</v>
      </c>
      <c r="O92" s="3">
        <f>LN(Таблица4[[#This Row],[Газпром объем]])</f>
        <v>20.671599820475034</v>
      </c>
      <c r="P92" s="4">
        <f>(Таблица4[[#This Row],[Газпром цена]]-L91)/L91</f>
        <v>-2.8207051762940669E-2</v>
      </c>
    </row>
    <row r="93" spans="1:16" x14ac:dyDescent="0.2">
      <c r="A93" s="1">
        <v>44013</v>
      </c>
      <c r="B93" s="3">
        <v>3.8754999999999998E-2</v>
      </c>
      <c r="C93" s="2">
        <v>873603110000</v>
      </c>
      <c r="D93" s="2">
        <f>Таблица1[[#This Row],[Втб ао цена]]*1000</f>
        <v>38.754999999999995</v>
      </c>
      <c r="E93" s="4">
        <f>(Таблица1[[#This Row],[Втб ао цена]]-B92)/B92</f>
        <v>0.10570613409415122</v>
      </c>
      <c r="F93" s="3">
        <f>LN(Таблица1[[#This Row],[Втб ао объем]])</f>
        <v>27.495892001912399</v>
      </c>
      <c r="G93" s="3">
        <v>221.57</v>
      </c>
      <c r="H93" s="2">
        <v>1088082960</v>
      </c>
      <c r="I93" s="2">
        <f>Таблица4[[#This Row],[Сбербанк цена]]*1000</f>
        <v>221570</v>
      </c>
      <c r="J93" s="4">
        <f>(Таблица4[[#This Row],[Сбербанк цена]]-G92)/G92</f>
        <v>9.0296230685956075E-2</v>
      </c>
      <c r="K93" s="3">
        <f>LN(Таблица4[[#This Row],[Сбербанк объем]])</f>
        <v>20.807683232473277</v>
      </c>
      <c r="L93" s="3">
        <v>182.59</v>
      </c>
      <c r="M93" s="3">
        <f>Таблица4[[#This Row],[Газпром цена]]*1000</f>
        <v>182590</v>
      </c>
      <c r="N93" s="2">
        <v>841671960</v>
      </c>
      <c r="O93" s="3">
        <f>LN(Таблица4[[#This Row],[Газпром объем]])</f>
        <v>20.55090090009476</v>
      </c>
      <c r="P93" s="4">
        <f>(Таблица4[[#This Row],[Газпром цена]]-L92)/L92</f>
        <v>-6.0315989913025572E-2</v>
      </c>
    </row>
    <row r="94" spans="1:16" x14ac:dyDescent="0.2">
      <c r="A94" s="1">
        <v>44044</v>
      </c>
      <c r="B94" s="3">
        <v>3.5950000000000003E-2</v>
      </c>
      <c r="C94" s="2">
        <v>965851250000</v>
      </c>
      <c r="D94" s="2">
        <f>Таблица1[[#This Row],[Втб ао цена]]*1000</f>
        <v>35.950000000000003</v>
      </c>
      <c r="E94" s="4">
        <f>(Таблица1[[#This Row],[Втб ао цена]]-B93)/B93</f>
        <v>-7.2377757708682627E-2</v>
      </c>
      <c r="F94" s="3">
        <f>LN(Таблица1[[#This Row],[Втб ао объем]])</f>
        <v>27.596275673794697</v>
      </c>
      <c r="G94" s="3">
        <v>226.3</v>
      </c>
      <c r="H94" s="2">
        <v>1262463920</v>
      </c>
      <c r="I94" s="2">
        <f>Таблица4[[#This Row],[Сбербанк цена]]*1000</f>
        <v>226300</v>
      </c>
      <c r="J94" s="4">
        <f>(Таблица4[[#This Row],[Сбербанк цена]]-G93)/G93</f>
        <v>2.1347655368506649E-2</v>
      </c>
      <c r="K94" s="3">
        <f>LN(Таблица4[[#This Row],[Сбербанк объем]])</f>
        <v>20.956331140487602</v>
      </c>
      <c r="L94" s="3">
        <v>182.9</v>
      </c>
      <c r="M94" s="3">
        <f>Таблица4[[#This Row],[Газпром цена]]*1000</f>
        <v>182900</v>
      </c>
      <c r="N94" s="2">
        <v>716152090</v>
      </c>
      <c r="O94" s="3">
        <f>LN(Таблица4[[#This Row],[Газпром объем]])</f>
        <v>20.389403118568911</v>
      </c>
      <c r="P94" s="4">
        <f>(Таблица4[[#This Row],[Газпром цена]]-L93)/L93</f>
        <v>1.6977928692699614E-3</v>
      </c>
    </row>
  </sheetData>
  <phoneticPr fontId="18" type="noConversion"/>
  <conditionalFormatting sqref="B1:B1048576">
    <cfRule type="dataBar" priority="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{B46EC4A2-E910-5947-B884-45D1075D1F37}</x14:id>
        </ext>
      </extLst>
    </cfRule>
  </conditionalFormatting>
  <conditionalFormatting sqref="C1:C1048576 H1:H1048576 N1:N104857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:G1048576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{79CD31ED-F98C-7547-8E26-80722A4CF51F}</x14:id>
        </ext>
      </extLst>
    </cfRule>
  </conditionalFormatting>
  <conditionalFormatting sqref="L1:L1048576">
    <cfRule type="dataBar" priority="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{F24EA881-6ABD-CD43-BB56-B8CA14370960}</x14:id>
        </ext>
      </extLst>
    </cfRule>
  </conditionalFormatting>
  <conditionalFormatting sqref="E2:E95">
    <cfRule type="iconSet" priority="3">
      <iconSet iconSet="5Arrows">
        <cfvo type="percent" val="0"/>
        <cfvo type="percent" val="20"/>
        <cfvo type="percent" val="40"/>
        <cfvo type="percent" val="60"/>
        <cfvo type="percent" val="75"/>
      </iconSet>
    </cfRule>
  </conditionalFormatting>
  <conditionalFormatting sqref="J1:J1048576">
    <cfRule type="iconSet" priority="2">
      <iconSet iconSet="5Arrows">
        <cfvo type="percent" val="0"/>
        <cfvo type="percent" val="20"/>
        <cfvo type="percent" val="40"/>
        <cfvo type="percent" val="60"/>
        <cfvo type="percent" val="75"/>
      </iconSet>
    </cfRule>
  </conditionalFormatting>
  <conditionalFormatting sqref="P1:P1048576">
    <cfRule type="iconSet" priority="1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pageMargins left="0.75" right="0.75" top="1" bottom="1" header="0.5" footer="0.5"/>
  <drawing r:id="rId1"/>
  <tableParts count="3">
    <tablePart r:id="rId2"/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46EC4A2-E910-5947-B884-45D1075D1F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B1:B1048576</xm:sqref>
        </x14:conditionalFormatting>
        <x14:conditionalFormatting xmlns:xm="http://schemas.microsoft.com/office/excel/2006/main">
          <x14:cfRule type="dataBar" id="{79CD31ED-F98C-7547-8E26-80722A4CF5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G1:G1048576</xm:sqref>
        </x14:conditionalFormatting>
        <x14:conditionalFormatting xmlns:xm="http://schemas.microsoft.com/office/excel/2006/main">
          <x14:cfRule type="dataBar" id="{F24EA881-6ABD-CD43-BB56-B8CA1437096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L1:L1048576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BaranovPI19-3_1_Лист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2021-09-06T06:07:55Z</dcterms:created>
  <dcterms:modified xsi:type="dcterms:W3CDTF">2021-09-11T09:43:43Z</dcterms:modified>
</cp:coreProperties>
</file>